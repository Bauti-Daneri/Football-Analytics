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General" sheetId="1" state="visible" r:id="rId1"/>
    <sheet xmlns:r="http://schemas.openxmlformats.org/officeDocument/2006/relationships" name="Datos_Partidos" sheetId="2" state="visible" r:id="rId2"/>
    <sheet xmlns:r="http://schemas.openxmlformats.org/officeDocument/2006/relationships" name="Datos_Jugadores" sheetId="3" state="visible" r:id="rId3"/>
    <sheet xmlns:r="http://schemas.openxmlformats.org/officeDocument/2006/relationships" name="Dashboard Jugad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32F2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2F2F"/>
        <b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Resultados (según filtro)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 General'!$B$8:$B$10</f>
            </numRef>
          </cat>
          <val>
            <numRef>
              <f>'Dashboard General'!$C$8:$C$10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Partidos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Goles promedio por partido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 General'!$B$14:$B$15</f>
            </numRef>
          </cat>
          <val>
            <numRef>
              <f>'Dashboard General'!$C$14:$C$15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Producción ofensiva del jugador seleccionado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 Jugador'!$B$9:$B$10</f>
            </numRef>
          </cat>
          <val>
            <numRef>
              <f>'Dashboard Jugador'!$C$9:$C$10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goleadores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Jugador'!B27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Jugador'!$A$28:$A$37</f>
            </numRef>
          </cat>
          <val>
            <numRef>
              <f>'Dashboard Jugador'!$B$28:$B$37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_Partidos" displayName="Datos_Partidos" ref="A1:N45" headerRowCount="1">
  <autoFilter ref="A1:N45"/>
  <tableColumns count="14">
    <tableColumn id="1" name="Temporada"/>
    <tableColumn id="2" name="Competencia"/>
    <tableColumn id="3" name="Fecha"/>
    <tableColumn id="4" name="Jornada"/>
    <tableColumn id="5" name="Condición"/>
    <tableColumn id="6" name="Rival"/>
    <tableColumn id="7" name="Goles_Favor"/>
    <tableColumn id="8" name="Goles_Contra"/>
    <tableColumn id="9" name="Posesión_%"/>
    <tableColumn id="10" name="Formación"/>
    <tableColumn id="11" name="Asistencia"/>
    <tableColumn id="12" name="Árbitro"/>
    <tableColumn id="13" name="Resultado"/>
    <tableColumn id="14" name="Puntos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Datos_Jugadores" displayName="Datos_Jugadores" ref="A1:AG93" headerRowCount="1">
  <autoFilter ref="A1:AG93"/>
  <tableColumns count="33">
    <tableColumn id="1" name="Temporada"/>
    <tableColumn id="2" name="Competencia"/>
    <tableColumn id="3" name="Jugador"/>
    <tableColumn id="4" name="Posición"/>
    <tableColumn id="5" name="Edad"/>
    <tableColumn id="6" name="Partidos_Jugados"/>
    <tableColumn id="7" name="Titular"/>
    <tableColumn id="8" name="Minutos"/>
    <tableColumn id="9" name="Goles"/>
    <tableColumn id="10" name="Asistencias"/>
    <tableColumn id="11" name="Goles_y_Asistencias"/>
    <tableColumn id="12" name="Penales_Convertidos"/>
    <tableColumn id="13" name="Penales_Intentados"/>
    <tableColumn id="14" name="Tarjetas_Amarillas"/>
    <tableColumn id="15" name="Tarjetas_Rojas"/>
    <tableColumn id="16" name="Tiros"/>
    <tableColumn id="17" name="Tiros_al_Arco"/>
    <tableColumn id="18" name="Faltas_Cometidas"/>
    <tableColumn id="19" name="Faltas_Recibidas"/>
    <tableColumn id="20" name="Offsides"/>
    <tableColumn id="21" name="Centros"/>
    <tableColumn id="22" name="Tackles_Ganados"/>
    <tableColumn id="23" name="Intercepciones"/>
    <tableColumn id="24" name="Tiros_al_Arco_Recibidos"/>
    <tableColumn id="25" name="Goles_Recibidos"/>
    <tableColumn id="26" name="Atajadas"/>
    <tableColumn id="27" name="Vallas_Invictas"/>
    <tableColumn id="28" name="Es_Agregado"/>
    <tableColumn id="29" name="Goles_por_90"/>
    <tableColumn id="30" name="Asistencias_por_90"/>
    <tableColumn id="31" name="%_Tiros_al_Arco"/>
    <tableColumn id="32" name="%_Conversión_de_Gol"/>
    <tableColumn id="33" name="%_Atajadas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op10Goleadores" displayName="Top10Goleadores" ref="A27:B37" headerRowCount="1">
  <autoFilter ref="A27:B37"/>
  <tableColumns count="2">
    <tableColumn id="1" name="Jugador"/>
    <tableColumn id="2" name="Goles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3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4" customWidth="1" min="3" max="3"/>
  </cols>
  <sheetData>
    <row r="1">
      <c r="B1" s="1" t="inlineStr">
        <is>
          <t>Dashboard General — River Plate</t>
        </is>
      </c>
    </row>
    <row r="3">
      <c r="B3" s="2" t="inlineStr">
        <is>
          <t>Temporada</t>
        </is>
      </c>
      <c r="C3" t="inlineStr">
        <is>
          <t>(Todas)</t>
        </is>
      </c>
    </row>
    <row r="4">
      <c r="B4" s="2" t="inlineStr">
        <is>
          <t>Competencia</t>
        </is>
      </c>
      <c r="C4" t="inlineStr">
        <is>
          <t>(Todas)</t>
        </is>
      </c>
    </row>
    <row r="6">
      <c r="B6" s="3" t="inlineStr">
        <is>
          <t>Métrica</t>
        </is>
      </c>
      <c r="C6" s="3" t="inlineStr">
        <is>
          <t>Valor</t>
        </is>
      </c>
    </row>
    <row r="7">
      <c r="B7" t="inlineStr">
        <is>
          <t>Partidos jugados</t>
        </is>
      </c>
      <c r="C7">
        <f>SUMPRODUCT((($C$3="(Todas)")+(Datos_Partidos[Temporada]=$C$3)&gt;0)*(($C$4="(Todas)")+(Datos_Partidos[Competencia]=$C$4)&gt;0)*(Datos_Partidos[Resultado]&lt;&gt;"Pendiente"))</f>
        <v/>
      </c>
    </row>
    <row r="8">
      <c r="B8" t="inlineStr">
        <is>
          <t>Ganados</t>
        </is>
      </c>
      <c r="C8">
        <f>SUMPRODUCT((($C$3="(Todas)")+(Datos_Partidos[Temporada]=$C$3)&gt;0)*(($C$4="(Todas)")+(Datos_Partidos[Competencia]=$C$4)&gt;0)*(Datos_Partidos[Resultado]="Ganado"))</f>
        <v/>
      </c>
    </row>
    <row r="9">
      <c r="B9" t="inlineStr">
        <is>
          <t>Empatados</t>
        </is>
      </c>
      <c r="C9">
        <f>SUMPRODUCT((($C$3="(Todas)")+(Datos_Partidos[Temporada]=$C$3)&gt;0)*(($C$4="(Todas)")+(Datos_Partidos[Competencia]=$C$4)&gt;0)*(Datos_Partidos[Resultado]="Empatado"))</f>
        <v/>
      </c>
    </row>
    <row r="10">
      <c r="B10" t="inlineStr">
        <is>
          <t>Perdidos</t>
        </is>
      </c>
      <c r="C10">
        <f>SUMPRODUCT((($C$3="(Todas)")+(Datos_Partidos[Temporada]=$C$3)&gt;0)*(($C$4="(Todas)")+(Datos_Partidos[Competencia]=$C$4)&gt;0)*(Datos_Partidos[Resultado]="Perdido"))</f>
        <v/>
      </c>
    </row>
    <row r="11">
      <c r="B11" t="inlineStr">
        <is>
          <t>Pendientes</t>
        </is>
      </c>
      <c r="C11">
        <f>SUMPRODUCT((($C$3="(Todas)")+(Datos_Partidos[Temporada]=$C$3)&gt;0)*(($C$4="(Todas)")+(Datos_Partidos[Competencia]=$C$4)&gt;0)*(Datos_Partidos[Resultado]="Pendiente"))</f>
        <v/>
      </c>
    </row>
    <row r="12">
      <c r="B12" t="inlineStr">
        <is>
          <t>Puntos</t>
        </is>
      </c>
      <c r="C12">
        <f>SUMPRODUCT((($C$3="(Todas)")+(Datos_Partidos[Temporada]=$C$3)&gt;0)*(($C$4="(Todas)")+(Datos_Partidos[Competencia]=$C$4)&gt;0)*(Datos_Partidos[Resultado]&lt;&gt;"Pendiente")*Datos_Partidos[Puntos])</f>
        <v/>
      </c>
    </row>
    <row r="13">
      <c r="B13" t="inlineStr">
        <is>
          <t>Puntos por partido</t>
        </is>
      </c>
      <c r="C13">
        <f>IFERROR(C12/C7,0)</f>
        <v/>
      </c>
    </row>
    <row r="14">
      <c r="B14" t="inlineStr">
        <is>
          <t>Goles a favor (prom.)</t>
        </is>
      </c>
      <c r="C14">
        <f>IFERROR(SUMPRODUCT((($C$3="(Todas)")+(Datos_Partidos[Temporada]=$C$3)&gt;0)*(($C$4="(Todas)")+(Datos_Partidos[Competencia]=$C$4)&gt;0)*(Datos_Partidos[Resultado]&lt;&gt;"Pendiente")*Datos_Partidos[Goles_Favor])/C7,0)</f>
        <v/>
      </c>
    </row>
    <row r="15">
      <c r="B15" t="inlineStr">
        <is>
          <t>Goles en contra (prom.)</t>
        </is>
      </c>
      <c r="C15">
        <f>IFERROR(SUMPRODUCT((($C$3="(Todas)")+(Datos_Partidos[Temporada]=$C$3)&gt;0)*(($C$4="(Todas)")+(Datos_Partidos[Competencia]=$C$4)&gt;0)*(Datos_Partidos[Resultado]&lt;&gt;"Pendiente")*Datos_Partidos[Goles_Contra])/C7,0)</f>
        <v/>
      </c>
    </row>
    <row r="20">
      <c r="H20" s="2" t="inlineStr">
        <is>
          <t>Opciones_Temporada</t>
        </is>
      </c>
      <c r="I20" s="2" t="inlineStr">
        <is>
          <t>Opciones_Competencia</t>
        </is>
      </c>
    </row>
    <row r="21">
      <c r="H21" t="inlineStr">
        <is>
          <t>(Todas)</t>
        </is>
      </c>
      <c r="I21" t="inlineStr">
        <is>
          <t>(Todas)</t>
        </is>
      </c>
    </row>
    <row r="22">
      <c r="H22" t="inlineStr">
        <is>
          <t>2026</t>
        </is>
      </c>
      <c r="I22" t="inlineStr">
        <is>
          <t>Liga Argentina</t>
        </is>
      </c>
    </row>
    <row r="23">
      <c r="I23" t="inlineStr">
        <is>
          <t>Sudamericana</t>
        </is>
      </c>
    </row>
  </sheetData>
  <mergeCells count="1">
    <mergeCell ref="B1:E1"/>
  </mergeCells>
  <dataValidations count="2">
    <dataValidation sqref="C3" showDropDown="0" showInputMessage="0" showErrorMessage="0" allowBlank="0" type="list">
      <formula1>=$H$21:$H$22</formula1>
    </dataValidation>
    <dataValidation sqref="C4" showDropDown="0" showInputMessage="0" showErrorMessage="0" allowBlank="0" type="list">
      <formula1>=$I$21:$I$23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Temporada</t>
        </is>
      </c>
      <c r="B1" s="3" t="inlineStr">
        <is>
          <t>Competencia</t>
        </is>
      </c>
      <c r="C1" s="3" t="inlineStr">
        <is>
          <t>Fecha</t>
        </is>
      </c>
      <c r="D1" s="3" t="inlineStr">
        <is>
          <t>Jornada</t>
        </is>
      </c>
      <c r="E1" s="3" t="inlineStr">
        <is>
          <t>Condición</t>
        </is>
      </c>
      <c r="F1" s="3" t="inlineStr">
        <is>
          <t>Rival</t>
        </is>
      </c>
      <c r="G1" s="3" t="inlineStr">
        <is>
          <t>Goles_Favor</t>
        </is>
      </c>
      <c r="H1" s="3" t="inlineStr">
        <is>
          <t>Goles_Contra</t>
        </is>
      </c>
      <c r="I1" s="3" t="inlineStr">
        <is>
          <t>Posesión_%</t>
        </is>
      </c>
      <c r="J1" s="3" t="inlineStr">
        <is>
          <t>Formación</t>
        </is>
      </c>
      <c r="K1" s="3" t="inlineStr">
        <is>
          <t>Asistencia</t>
        </is>
      </c>
      <c r="L1" s="3" t="inlineStr">
        <is>
          <t>Árbitro</t>
        </is>
      </c>
      <c r="M1" s="3" t="inlineStr">
        <is>
          <t>Resultado</t>
        </is>
      </c>
      <c r="N1" s="3" t="inlineStr">
        <is>
          <t>Puntos</t>
        </is>
      </c>
    </row>
    <row r="2">
      <c r="A2" t="n">
        <v>2026</v>
      </c>
      <c r="B2" t="inlineStr">
        <is>
          <t>Liga Argentina</t>
        </is>
      </c>
      <c r="C2" t="inlineStr">
        <is>
          <t>2026-01-24</t>
        </is>
      </c>
      <c r="D2" t="inlineStr">
        <is>
          <t>Torneo Apertura — Regular season</t>
        </is>
      </c>
      <c r="E2" t="inlineStr">
        <is>
          <t>Visitante</t>
        </is>
      </c>
      <c r="F2" t="inlineStr">
        <is>
          <t>Barracas Central</t>
        </is>
      </c>
      <c r="G2" t="n">
        <v>1</v>
      </c>
      <c r="H2" t="n">
        <v>0</v>
      </c>
      <c r="I2" t="n">
        <v>67</v>
      </c>
      <c r="J2" t="inlineStr">
        <is>
          <t>4-3-2-1</t>
        </is>
      </c>
      <c r="L2" t="inlineStr">
        <is>
          <t>Nicolás Ramírez</t>
        </is>
      </c>
      <c r="M2" t="inlineStr">
        <is>
          <t>Ganado</t>
        </is>
      </c>
      <c r="N2" t="n">
        <v>3</v>
      </c>
    </row>
    <row r="3">
      <c r="A3" t="n">
        <v>2026</v>
      </c>
      <c r="B3" t="inlineStr">
        <is>
          <t>Liga Argentina</t>
        </is>
      </c>
      <c r="C3" t="inlineStr">
        <is>
          <t>2026-01-28</t>
        </is>
      </c>
      <c r="D3" t="inlineStr">
        <is>
          <t>Torneo Apertura — Regular season</t>
        </is>
      </c>
      <c r="E3" t="inlineStr">
        <is>
          <t>Local</t>
        </is>
      </c>
      <c r="F3" t="inlineStr">
        <is>
          <t>Gimnasia–LP</t>
        </is>
      </c>
      <c r="G3" t="n">
        <v>2</v>
      </c>
      <c r="H3" t="n">
        <v>0</v>
      </c>
      <c r="I3" t="n">
        <v>71</v>
      </c>
      <c r="J3" t="inlineStr">
        <is>
          <t>3-1-4-2</t>
        </is>
      </c>
      <c r="L3" t="inlineStr">
        <is>
          <t>Pablo Dóvalo</t>
        </is>
      </c>
      <c r="M3" t="inlineStr">
        <is>
          <t>Ganado</t>
        </is>
      </c>
      <c r="N3" t="n">
        <v>3</v>
      </c>
    </row>
    <row r="4">
      <c r="A4" t="n">
        <v>2026</v>
      </c>
      <c r="B4" t="inlineStr">
        <is>
          <t>Liga Argentina</t>
        </is>
      </c>
      <c r="C4" t="inlineStr">
        <is>
          <t>2026-02-01</t>
        </is>
      </c>
      <c r="D4" t="inlineStr">
        <is>
          <t>Torneo Apertura — Regular season</t>
        </is>
      </c>
      <c r="E4" t="inlineStr">
        <is>
          <t>Visitante</t>
        </is>
      </c>
      <c r="F4" t="inlineStr">
        <is>
          <t>Rosario Central</t>
        </is>
      </c>
      <c r="G4" t="n">
        <v>0</v>
      </c>
      <c r="H4" t="n">
        <v>0</v>
      </c>
      <c r="I4" t="n">
        <v>66</v>
      </c>
      <c r="J4" t="inlineStr">
        <is>
          <t>4-2-2-2</t>
        </is>
      </c>
      <c r="L4" t="inlineStr">
        <is>
          <t>Facundo Tello</t>
        </is>
      </c>
      <c r="M4" t="inlineStr">
        <is>
          <t>Empatado</t>
        </is>
      </c>
      <c r="N4" t="n">
        <v>1</v>
      </c>
    </row>
    <row r="5">
      <c r="A5" t="n">
        <v>2026</v>
      </c>
      <c r="B5" t="inlineStr">
        <is>
          <t>Liga Argentina</t>
        </is>
      </c>
      <c r="C5" t="inlineStr">
        <is>
          <t>2026-02-07</t>
        </is>
      </c>
      <c r="D5" t="inlineStr">
        <is>
          <t>Torneo Apertura — Regular season</t>
        </is>
      </c>
      <c r="E5" t="inlineStr">
        <is>
          <t>Local</t>
        </is>
      </c>
      <c r="F5" t="inlineStr">
        <is>
          <t>Tigre</t>
        </is>
      </c>
      <c r="G5" t="n">
        <v>1</v>
      </c>
      <c r="H5" t="n">
        <v>4</v>
      </c>
      <c r="I5" t="n">
        <v>71</v>
      </c>
      <c r="J5" t="inlineStr">
        <is>
          <t>4-3-1-2</t>
        </is>
      </c>
      <c r="L5" t="inlineStr">
        <is>
          <t>Sebastían Zunino</t>
        </is>
      </c>
      <c r="M5" t="inlineStr">
        <is>
          <t>Perdido</t>
        </is>
      </c>
      <c r="N5" t="n">
        <v>0</v>
      </c>
    </row>
    <row r="6">
      <c r="A6" t="n">
        <v>2026</v>
      </c>
      <c r="B6" t="inlineStr">
        <is>
          <t>Liga Argentina</t>
        </is>
      </c>
      <c r="C6" t="inlineStr">
        <is>
          <t>2026-02-12</t>
        </is>
      </c>
      <c r="D6" t="inlineStr">
        <is>
          <t>Torneo Apertura — Regular season</t>
        </is>
      </c>
      <c r="E6" t="inlineStr">
        <is>
          <t>Visitante</t>
        </is>
      </c>
      <c r="F6" t="inlineStr">
        <is>
          <t>Arg Juniors</t>
        </is>
      </c>
      <c r="G6" t="n">
        <v>0</v>
      </c>
      <c r="H6" t="n">
        <v>1</v>
      </c>
      <c r="I6" t="n">
        <v>52</v>
      </c>
      <c r="J6" t="inlineStr">
        <is>
          <t>4-5-1</t>
        </is>
      </c>
      <c r="L6" t="inlineStr">
        <is>
          <t>Andrés Merlos</t>
        </is>
      </c>
      <c r="M6" t="inlineStr">
        <is>
          <t>Perdido</t>
        </is>
      </c>
      <c r="N6" t="n">
        <v>0</v>
      </c>
    </row>
    <row r="7">
      <c r="A7" t="n">
        <v>2026</v>
      </c>
      <c r="B7" t="inlineStr">
        <is>
          <t>Liga Argentina</t>
        </is>
      </c>
      <c r="C7" t="inlineStr">
        <is>
          <t>2026-02-22</t>
        </is>
      </c>
      <c r="D7" t="inlineStr">
        <is>
          <t>Torneo Apertura — Regular season</t>
        </is>
      </c>
      <c r="E7" t="inlineStr">
        <is>
          <t>Visitante</t>
        </is>
      </c>
      <c r="F7" t="inlineStr">
        <is>
          <t>Vélez Sarsfield</t>
        </is>
      </c>
      <c r="G7" t="n">
        <v>0</v>
      </c>
      <c r="H7" t="n">
        <v>1</v>
      </c>
      <c r="I7" t="n">
        <v>64</v>
      </c>
      <c r="J7" t="inlineStr">
        <is>
          <t>4-3-1-2</t>
        </is>
      </c>
      <c r="L7" t="inlineStr">
        <is>
          <t>Darío Herrera</t>
        </is>
      </c>
      <c r="M7" t="inlineStr">
        <is>
          <t>Perdido</t>
        </is>
      </c>
      <c r="N7" t="n">
        <v>0</v>
      </c>
    </row>
    <row r="8">
      <c r="A8" t="n">
        <v>2026</v>
      </c>
      <c r="B8" t="inlineStr">
        <is>
          <t>Liga Argentina</t>
        </is>
      </c>
      <c r="C8" t="inlineStr">
        <is>
          <t>2026-02-26</t>
        </is>
      </c>
      <c r="D8" t="inlineStr">
        <is>
          <t>Torneo Apertura — Regular season</t>
        </is>
      </c>
      <c r="E8" t="inlineStr">
        <is>
          <t>Local</t>
        </is>
      </c>
      <c r="F8" t="inlineStr">
        <is>
          <t>Banfield</t>
        </is>
      </c>
      <c r="G8" t="n">
        <v>3</v>
      </c>
      <c r="H8" t="n">
        <v>1</v>
      </c>
      <c r="I8" t="n">
        <v>65</v>
      </c>
      <c r="J8" t="inlineStr">
        <is>
          <t>4-2-3-1</t>
        </is>
      </c>
      <c r="L8" t="inlineStr">
        <is>
          <t>Hernán Mastrángelo</t>
        </is>
      </c>
      <c r="M8" t="inlineStr">
        <is>
          <t>Ganado</t>
        </is>
      </c>
      <c r="N8" t="n">
        <v>3</v>
      </c>
    </row>
    <row r="9">
      <c r="A9" t="n">
        <v>2026</v>
      </c>
      <c r="B9" t="inlineStr">
        <is>
          <t>Liga Argentina</t>
        </is>
      </c>
      <c r="C9" t="inlineStr">
        <is>
          <t>2026-03-02</t>
        </is>
      </c>
      <c r="D9" t="inlineStr">
        <is>
          <t>Torneo Apertura — Regular season</t>
        </is>
      </c>
      <c r="E9" t="inlineStr">
        <is>
          <t>Visitante</t>
        </is>
      </c>
      <c r="F9" t="inlineStr">
        <is>
          <t>Ind. Rivadavia</t>
        </is>
      </c>
      <c r="G9" t="n">
        <v>1</v>
      </c>
      <c r="H9" t="n">
        <v>1</v>
      </c>
      <c r="I9" t="n">
        <v>71</v>
      </c>
      <c r="J9" t="inlineStr">
        <is>
          <t>4-2-3-1</t>
        </is>
      </c>
      <c r="L9" t="inlineStr">
        <is>
          <t>Facundo Tello</t>
        </is>
      </c>
      <c r="M9" t="inlineStr">
        <is>
          <t>Empatado</t>
        </is>
      </c>
      <c r="N9" t="n">
        <v>1</v>
      </c>
    </row>
    <row r="10">
      <c r="A10" t="n">
        <v>2026</v>
      </c>
      <c r="B10" t="inlineStr">
        <is>
          <t>Liga Argentina</t>
        </is>
      </c>
      <c r="C10" t="inlineStr">
        <is>
          <t>2026-03-12</t>
        </is>
      </c>
      <c r="D10" t="inlineStr">
        <is>
          <t>Torneo Apertura — Regular season</t>
        </is>
      </c>
      <c r="E10" t="inlineStr">
        <is>
          <t>Visitante</t>
        </is>
      </c>
      <c r="F10" t="inlineStr">
        <is>
          <t>Huracán</t>
        </is>
      </c>
      <c r="G10" t="n">
        <v>2</v>
      </c>
      <c r="H10" t="n">
        <v>1</v>
      </c>
      <c r="I10" t="n">
        <v>60</v>
      </c>
      <c r="J10" t="inlineStr">
        <is>
          <t>4-2-3-1</t>
        </is>
      </c>
      <c r="L10" t="inlineStr">
        <is>
          <t>Nicolás Ramírez</t>
        </is>
      </c>
      <c r="M10" t="inlineStr">
        <is>
          <t>Ganado</t>
        </is>
      </c>
      <c r="N10" t="n">
        <v>3</v>
      </c>
    </row>
    <row r="11">
      <c r="A11" t="n">
        <v>2026</v>
      </c>
      <c r="B11" t="inlineStr">
        <is>
          <t>Liga Argentina</t>
        </is>
      </c>
      <c r="C11" t="inlineStr">
        <is>
          <t>2026-03-15</t>
        </is>
      </c>
      <c r="D11" t="inlineStr">
        <is>
          <t>Torneo Apertura — Regular season</t>
        </is>
      </c>
      <c r="E11" t="inlineStr">
        <is>
          <t>Local</t>
        </is>
      </c>
      <c r="F11" t="inlineStr">
        <is>
          <t>Sarmiento–J</t>
        </is>
      </c>
      <c r="G11" t="n">
        <v>2</v>
      </c>
      <c r="H11" t="n">
        <v>0</v>
      </c>
      <c r="I11" t="n">
        <v>79</v>
      </c>
      <c r="J11" t="inlineStr">
        <is>
          <t>4-2-3-1</t>
        </is>
      </c>
      <c r="L11" t="inlineStr">
        <is>
          <t>Darío Herrera</t>
        </is>
      </c>
      <c r="M11" t="inlineStr">
        <is>
          <t>Ganado</t>
        </is>
      </c>
      <c r="N11" t="n">
        <v>3</v>
      </c>
    </row>
    <row r="12">
      <c r="A12" t="n">
        <v>2026</v>
      </c>
      <c r="B12" t="inlineStr">
        <is>
          <t>Liga Argentina</t>
        </is>
      </c>
      <c r="C12" t="inlineStr">
        <is>
          <t>2026-03-22</t>
        </is>
      </c>
      <c r="D12" t="inlineStr">
        <is>
          <t>Torneo Apertura — Regular season</t>
        </is>
      </c>
      <c r="E12" t="inlineStr">
        <is>
          <t>Visitante</t>
        </is>
      </c>
      <c r="F12" t="inlineStr">
        <is>
          <t>Estudiantes–RC</t>
        </is>
      </c>
      <c r="G12" t="n">
        <v>2</v>
      </c>
      <c r="H12" t="n">
        <v>0</v>
      </c>
      <c r="I12" t="n">
        <v>58</v>
      </c>
      <c r="J12" t="inlineStr">
        <is>
          <t>4-2-3-1</t>
        </is>
      </c>
      <c r="L12" t="inlineStr">
        <is>
          <t>Nazareno Arasa</t>
        </is>
      </c>
      <c r="M12" t="inlineStr">
        <is>
          <t>Ganado</t>
        </is>
      </c>
      <c r="N12" t="n">
        <v>3</v>
      </c>
    </row>
    <row r="13">
      <c r="A13" t="n">
        <v>2026</v>
      </c>
      <c r="B13" t="inlineStr">
        <is>
          <t>Liga Argentina</t>
        </is>
      </c>
      <c r="C13" t="inlineStr">
        <is>
          <t>2026-04-05</t>
        </is>
      </c>
      <c r="D13" t="inlineStr">
        <is>
          <t>Torneo Apertura — Regular season</t>
        </is>
      </c>
      <c r="E13" t="inlineStr">
        <is>
          <t>Local</t>
        </is>
      </c>
      <c r="F13" t="inlineStr">
        <is>
          <t>Belgrano</t>
        </is>
      </c>
      <c r="G13" t="n">
        <v>3</v>
      </c>
      <c r="H13" t="n">
        <v>0</v>
      </c>
      <c r="I13" t="n">
        <v>67</v>
      </c>
      <c r="J13" t="inlineStr">
        <is>
          <t>4-2-3-1</t>
        </is>
      </c>
      <c r="L13" t="inlineStr">
        <is>
          <t>Yael Falcón</t>
        </is>
      </c>
      <c r="M13" t="inlineStr">
        <is>
          <t>Ganado</t>
        </is>
      </c>
      <c r="N13" t="n">
        <v>3</v>
      </c>
    </row>
    <row r="14">
      <c r="A14" t="n">
        <v>2026</v>
      </c>
      <c r="B14" t="inlineStr">
        <is>
          <t>Sudamericana</t>
        </is>
      </c>
      <c r="C14" t="inlineStr">
        <is>
          <t>2026-04-08</t>
        </is>
      </c>
      <c r="D14" t="inlineStr">
        <is>
          <t>Group stage</t>
        </is>
      </c>
      <c r="E14" t="inlineStr">
        <is>
          <t>Visitante</t>
        </is>
      </c>
      <c r="F14" t="inlineStr">
        <is>
          <t>bo Blooming</t>
        </is>
      </c>
      <c r="G14" t="n">
        <v>1</v>
      </c>
      <c r="H14" t="n">
        <v>1</v>
      </c>
      <c r="I14" t="n">
        <v>36</v>
      </c>
      <c r="J14" t="inlineStr">
        <is>
          <t>4-2-3-1</t>
        </is>
      </c>
      <c r="L14" t="inlineStr">
        <is>
          <t>Andrés Rojas</t>
        </is>
      </c>
      <c r="M14" t="inlineStr">
        <is>
          <t>Empatado</t>
        </is>
      </c>
      <c r="N14" t="n">
        <v>1</v>
      </c>
    </row>
    <row r="15">
      <c r="A15" t="n">
        <v>2026</v>
      </c>
      <c r="B15" t="inlineStr">
        <is>
          <t>Liga Argentina</t>
        </is>
      </c>
      <c r="C15" t="inlineStr">
        <is>
          <t>2026-04-12</t>
        </is>
      </c>
      <c r="D15" t="inlineStr">
        <is>
          <t>Torneo Apertura — Regular season</t>
        </is>
      </c>
      <c r="E15" t="inlineStr">
        <is>
          <t>Visitante</t>
        </is>
      </c>
      <c r="F15" t="inlineStr">
        <is>
          <t>Racing Club</t>
        </is>
      </c>
      <c r="G15" t="n">
        <v>2</v>
      </c>
      <c r="H15" t="n">
        <v>0</v>
      </c>
      <c r="I15" t="n">
        <v>50</v>
      </c>
      <c r="J15" t="inlineStr">
        <is>
          <t>4-4-2</t>
        </is>
      </c>
      <c r="L15" t="inlineStr">
        <is>
          <t>Sebastían Zunino</t>
        </is>
      </c>
      <c r="M15" t="inlineStr">
        <is>
          <t>Ganado</t>
        </is>
      </c>
      <c r="N15" t="n">
        <v>3</v>
      </c>
    </row>
    <row r="16">
      <c r="A16" t="n">
        <v>2026</v>
      </c>
      <c r="B16" t="inlineStr">
        <is>
          <t>Sudamericana</t>
        </is>
      </c>
      <c r="C16" t="inlineStr">
        <is>
          <t>2026-04-15</t>
        </is>
      </c>
      <c r="D16" t="inlineStr">
        <is>
          <t>Group stage</t>
        </is>
      </c>
      <c r="E16" t="inlineStr">
        <is>
          <t>Local</t>
        </is>
      </c>
      <c r="F16" t="inlineStr">
        <is>
          <t>ve Carabobo</t>
        </is>
      </c>
      <c r="G16" t="n">
        <v>1</v>
      </c>
      <c r="H16" t="n">
        <v>0</v>
      </c>
      <c r="I16" t="n">
        <v>64</v>
      </c>
      <c r="J16" t="inlineStr">
        <is>
          <t>4-2-3-1</t>
        </is>
      </c>
      <c r="L16" t="inlineStr">
        <is>
          <t>Kevin Ortega</t>
        </is>
      </c>
      <c r="M16" t="inlineStr">
        <is>
          <t>Ganado</t>
        </is>
      </c>
      <c r="N16" t="n">
        <v>3</v>
      </c>
    </row>
    <row r="17">
      <c r="A17" t="n">
        <v>2026</v>
      </c>
      <c r="B17" t="inlineStr">
        <is>
          <t>Liga Argentina</t>
        </is>
      </c>
      <c r="C17" t="inlineStr">
        <is>
          <t>2026-04-19</t>
        </is>
      </c>
      <c r="D17" t="inlineStr">
        <is>
          <t>Torneo Apertura — Regular season</t>
        </is>
      </c>
      <c r="E17" t="inlineStr">
        <is>
          <t>Local</t>
        </is>
      </c>
      <c r="F17" t="inlineStr">
        <is>
          <t>Boca Juniors</t>
        </is>
      </c>
      <c r="G17" t="n">
        <v>0</v>
      </c>
      <c r="H17" t="n">
        <v>1</v>
      </c>
      <c r="I17" t="n">
        <v>68</v>
      </c>
      <c r="J17" t="inlineStr">
        <is>
          <t>4-3-3</t>
        </is>
      </c>
      <c r="L17" t="inlineStr">
        <is>
          <t>Darío Herrera</t>
        </is>
      </c>
      <c r="M17" t="inlineStr">
        <is>
          <t>Perdido</t>
        </is>
      </c>
      <c r="N17" t="n">
        <v>0</v>
      </c>
    </row>
    <row r="18">
      <c r="A18" t="n">
        <v>2026</v>
      </c>
      <c r="B18" t="inlineStr">
        <is>
          <t>Liga Argentina</t>
        </is>
      </c>
      <c r="C18" t="inlineStr">
        <is>
          <t>2026-04-25</t>
        </is>
      </c>
      <c r="D18" t="inlineStr">
        <is>
          <t>Torneo Apertura — Regular season</t>
        </is>
      </c>
      <c r="E18" t="inlineStr">
        <is>
          <t>Local</t>
        </is>
      </c>
      <c r="F18" t="inlineStr">
        <is>
          <t>Aldosivi</t>
        </is>
      </c>
      <c r="G18" t="n">
        <v>3</v>
      </c>
      <c r="H18" t="n">
        <v>1</v>
      </c>
      <c r="I18" t="n">
        <v>72</v>
      </c>
      <c r="J18" t="inlineStr">
        <is>
          <t>4-4-2</t>
        </is>
      </c>
      <c r="L18" t="inlineStr">
        <is>
          <t>Nicolás Ramírez</t>
        </is>
      </c>
      <c r="M18" t="inlineStr">
        <is>
          <t>Ganado</t>
        </is>
      </c>
      <c r="N18" t="n">
        <v>3</v>
      </c>
    </row>
    <row r="19">
      <c r="A19" t="n">
        <v>2026</v>
      </c>
      <c r="B19" t="inlineStr">
        <is>
          <t>Sudamericana</t>
        </is>
      </c>
      <c r="C19" t="inlineStr">
        <is>
          <t>2026-04-30</t>
        </is>
      </c>
      <c r="D19" t="inlineStr">
        <is>
          <t>Group stage</t>
        </is>
      </c>
      <c r="E19" t="inlineStr">
        <is>
          <t>Visitante</t>
        </is>
      </c>
      <c r="F19" t="inlineStr">
        <is>
          <t>br RB Bragantino</t>
        </is>
      </c>
      <c r="G19" t="n">
        <v>1</v>
      </c>
      <c r="H19" t="n">
        <v>0</v>
      </c>
      <c r="I19" t="n">
        <v>64</v>
      </c>
      <c r="J19" t="inlineStr">
        <is>
          <t>4-4-2</t>
        </is>
      </c>
      <c r="L19" t="inlineStr">
        <is>
          <t>Wilmar Roldán</t>
        </is>
      </c>
      <c r="M19" t="inlineStr">
        <is>
          <t>Ganado</t>
        </is>
      </c>
      <c r="N19" t="n">
        <v>3</v>
      </c>
    </row>
    <row r="20">
      <c r="A20" t="n">
        <v>2026</v>
      </c>
      <c r="B20" t="inlineStr">
        <is>
          <t>Liga Argentina</t>
        </is>
      </c>
      <c r="C20" t="inlineStr">
        <is>
          <t>2026-05-03</t>
        </is>
      </c>
      <c r="D20" t="inlineStr">
        <is>
          <t>Torneo Apertura — Regular season</t>
        </is>
      </c>
      <c r="E20" t="inlineStr">
        <is>
          <t>Local</t>
        </is>
      </c>
      <c r="F20" t="inlineStr">
        <is>
          <t>Atlé Tucumán</t>
        </is>
      </c>
      <c r="G20" t="n">
        <v>0</v>
      </c>
      <c r="H20" t="n">
        <v>1</v>
      </c>
      <c r="I20" t="n">
        <v>76</v>
      </c>
      <c r="J20" t="inlineStr">
        <is>
          <t>4-1-3-2</t>
        </is>
      </c>
      <c r="L20" t="inlineStr">
        <is>
          <t>Yael Falcón</t>
        </is>
      </c>
      <c r="M20" t="inlineStr">
        <is>
          <t>Perdido</t>
        </is>
      </c>
      <c r="N20" t="n">
        <v>0</v>
      </c>
    </row>
    <row r="21">
      <c r="A21" t="n">
        <v>2026</v>
      </c>
      <c r="B21" t="inlineStr">
        <is>
          <t>Sudamericana</t>
        </is>
      </c>
      <c r="C21" t="inlineStr">
        <is>
          <t>2026-05-07</t>
        </is>
      </c>
      <c r="D21" t="inlineStr">
        <is>
          <t>Group stage</t>
        </is>
      </c>
      <c r="E21" t="inlineStr">
        <is>
          <t>Visitante</t>
        </is>
      </c>
      <c r="F21" t="inlineStr">
        <is>
          <t>ve Carabobo</t>
        </is>
      </c>
      <c r="G21" t="n">
        <v>2</v>
      </c>
      <c r="H21" t="n">
        <v>1</v>
      </c>
      <c r="I21" t="n">
        <v>67</v>
      </c>
      <c r="J21" t="inlineStr">
        <is>
          <t>4-2-3-1</t>
        </is>
      </c>
      <c r="L21" t="inlineStr">
        <is>
          <t>Derlis López</t>
        </is>
      </c>
      <c r="M21" t="inlineStr">
        <is>
          <t>Ganado</t>
        </is>
      </c>
      <c r="N21" t="n">
        <v>3</v>
      </c>
    </row>
    <row r="22">
      <c r="A22" t="n">
        <v>2026</v>
      </c>
      <c r="B22" t="inlineStr">
        <is>
          <t>Liga Argentina</t>
        </is>
      </c>
      <c r="C22" t="inlineStr">
        <is>
          <t>2026-05-10</t>
        </is>
      </c>
      <c r="D22" t="inlineStr">
        <is>
          <t>Torneo Apertura — Round of 16</t>
        </is>
      </c>
      <c r="E22" t="inlineStr">
        <is>
          <t>Local</t>
        </is>
      </c>
      <c r="F22" t="inlineStr">
        <is>
          <t>CA San Lorenzo</t>
        </is>
      </c>
      <c r="G22" t="n">
        <v>2</v>
      </c>
      <c r="H22" t="n">
        <v>2</v>
      </c>
      <c r="I22" t="n">
        <v>73</v>
      </c>
      <c r="J22" t="inlineStr">
        <is>
          <t>4-2-3-1</t>
        </is>
      </c>
      <c r="L22" t="inlineStr">
        <is>
          <t>Sebastían Zunino</t>
        </is>
      </c>
      <c r="M22" t="inlineStr">
        <is>
          <t>Empatado</t>
        </is>
      </c>
      <c r="N22" t="n">
        <v>1</v>
      </c>
    </row>
    <row r="23">
      <c r="A23" t="n">
        <v>2026</v>
      </c>
      <c r="B23" t="inlineStr">
        <is>
          <t>Liga Argentina</t>
        </is>
      </c>
      <c r="C23" t="inlineStr">
        <is>
          <t>2026-05-13</t>
        </is>
      </c>
      <c r="D23" t="inlineStr">
        <is>
          <t>Torneo Apertura — Quarter-finals</t>
        </is>
      </c>
      <c r="E23" t="inlineStr">
        <is>
          <t>Local</t>
        </is>
      </c>
      <c r="F23" t="inlineStr">
        <is>
          <t>Gimnasia–LP</t>
        </is>
      </c>
      <c r="G23" t="n">
        <v>2</v>
      </c>
      <c r="H23" t="n">
        <v>0</v>
      </c>
      <c r="I23" t="n">
        <v>58</v>
      </c>
      <c r="J23" t="inlineStr">
        <is>
          <t>4-2-2-2</t>
        </is>
      </c>
      <c r="L23" t="inlineStr">
        <is>
          <t>Leandro Rey</t>
        </is>
      </c>
      <c r="M23" t="inlineStr">
        <is>
          <t>Ganado</t>
        </is>
      </c>
      <c r="N23" t="n">
        <v>3</v>
      </c>
    </row>
    <row r="24">
      <c r="A24" t="n">
        <v>2026</v>
      </c>
      <c r="B24" t="inlineStr">
        <is>
          <t>Liga Argentina</t>
        </is>
      </c>
      <c r="C24" t="inlineStr">
        <is>
          <t>2026-05-16</t>
        </is>
      </c>
      <c r="D24" t="inlineStr">
        <is>
          <t>Torneo Apertura — Semi-finals</t>
        </is>
      </c>
      <c r="E24" t="inlineStr">
        <is>
          <t>Local</t>
        </is>
      </c>
      <c r="F24" t="inlineStr">
        <is>
          <t>Rosario Central</t>
        </is>
      </c>
      <c r="G24" t="n">
        <v>1</v>
      </c>
      <c r="H24" t="n">
        <v>0</v>
      </c>
      <c r="I24" t="n">
        <v>54</v>
      </c>
      <c r="J24" t="inlineStr">
        <is>
          <t>4-1-3-2</t>
        </is>
      </c>
      <c r="L24" t="inlineStr">
        <is>
          <t>Nicolás Ramírez</t>
        </is>
      </c>
      <c r="M24" t="inlineStr">
        <is>
          <t>Ganado</t>
        </is>
      </c>
      <c r="N24" t="n">
        <v>3</v>
      </c>
    </row>
    <row r="25">
      <c r="A25" t="n">
        <v>2026</v>
      </c>
      <c r="B25" t="inlineStr">
        <is>
          <t>Sudamericana</t>
        </is>
      </c>
      <c r="C25" t="inlineStr">
        <is>
          <t>2026-05-20</t>
        </is>
      </c>
      <c r="D25" t="inlineStr">
        <is>
          <t>Group stage</t>
        </is>
      </c>
      <c r="E25" t="inlineStr">
        <is>
          <t>Local</t>
        </is>
      </c>
      <c r="F25" t="inlineStr">
        <is>
          <t>br RB Bragantino</t>
        </is>
      </c>
      <c r="G25" t="n">
        <v>1</v>
      </c>
      <c r="H25" t="n">
        <v>1</v>
      </c>
      <c r="I25" t="n">
        <v>59</v>
      </c>
      <c r="J25" t="inlineStr">
        <is>
          <t>4-2-3-1</t>
        </is>
      </c>
      <c r="L25" t="inlineStr">
        <is>
          <t>Gustavo Tejera</t>
        </is>
      </c>
      <c r="M25" t="inlineStr">
        <is>
          <t>Empatado</t>
        </is>
      </c>
      <c r="N25" t="n">
        <v>1</v>
      </c>
    </row>
    <row r="26">
      <c r="A26" t="n">
        <v>2026</v>
      </c>
      <c r="B26" t="inlineStr">
        <is>
          <t>Liga Argentina</t>
        </is>
      </c>
      <c r="C26" t="inlineStr">
        <is>
          <t>2026-05-24</t>
        </is>
      </c>
      <c r="D26" t="inlineStr">
        <is>
          <t>Torneo Apertura — Final</t>
        </is>
      </c>
      <c r="E26" t="inlineStr">
        <is>
          <t>Local</t>
        </is>
      </c>
      <c r="F26" t="inlineStr">
        <is>
          <t>Belgrano</t>
        </is>
      </c>
      <c r="G26" t="n">
        <v>2</v>
      </c>
      <c r="H26" t="n">
        <v>3</v>
      </c>
      <c r="I26" t="n">
        <v>62</v>
      </c>
      <c r="J26" t="inlineStr">
        <is>
          <t>4-2-3-1</t>
        </is>
      </c>
      <c r="L26" t="inlineStr">
        <is>
          <t>Yael Falcón</t>
        </is>
      </c>
      <c r="M26" t="inlineStr">
        <is>
          <t>Perdido</t>
        </is>
      </c>
      <c r="N26" t="n">
        <v>0</v>
      </c>
    </row>
    <row r="27">
      <c r="A27" t="n">
        <v>2026</v>
      </c>
      <c r="B27" t="inlineStr">
        <is>
          <t>Sudamericana</t>
        </is>
      </c>
      <c r="C27" t="inlineStr">
        <is>
          <t>2026-05-27</t>
        </is>
      </c>
      <c r="D27" t="inlineStr">
        <is>
          <t>Group stage</t>
        </is>
      </c>
      <c r="E27" t="inlineStr">
        <is>
          <t>Local</t>
        </is>
      </c>
      <c r="F27" t="inlineStr">
        <is>
          <t>bo Blooming</t>
        </is>
      </c>
      <c r="G27" t="n">
        <v>3</v>
      </c>
      <c r="H27" t="n">
        <v>0</v>
      </c>
      <c r="I27" t="n">
        <v>74</v>
      </c>
      <c r="J27" t="inlineStr">
        <is>
          <t>4-2-2-2</t>
        </is>
      </c>
      <c r="L27" t="inlineStr">
        <is>
          <t>Bruno Pérez</t>
        </is>
      </c>
      <c r="M27" t="inlineStr">
        <is>
          <t>Ganado</t>
        </is>
      </c>
      <c r="N27" t="n">
        <v>3</v>
      </c>
    </row>
    <row r="28">
      <c r="A28" t="n">
        <v>2026</v>
      </c>
      <c r="B28" t="inlineStr">
        <is>
          <t>Liga Argentina</t>
        </is>
      </c>
      <c r="C28" t="inlineStr">
        <is>
          <t>2026-07-25</t>
        </is>
      </c>
      <c r="D28" t="inlineStr">
        <is>
          <t>Torneo Clausura — Regular season</t>
        </is>
      </c>
      <c r="E28" t="inlineStr">
        <is>
          <t>Local</t>
        </is>
      </c>
      <c r="F28" t="inlineStr">
        <is>
          <t>Barracas Central</t>
        </is>
      </c>
      <c r="G28" t="n">
        <v>0</v>
      </c>
      <c r="H28" t="n">
        <v>1</v>
      </c>
      <c r="I28" t="n">
        <v>76</v>
      </c>
      <c r="J28" t="inlineStr">
        <is>
          <t>4-2-3-1</t>
        </is>
      </c>
      <c r="L28" t="inlineStr">
        <is>
          <t>Nazareno Arasa</t>
        </is>
      </c>
      <c r="M28" t="inlineStr">
        <is>
          <t>Perdido</t>
        </is>
      </c>
      <c r="N28" t="n">
        <v>0</v>
      </c>
    </row>
    <row r="29">
      <c r="A29" t="n">
        <v>2026</v>
      </c>
      <c r="B29" t="inlineStr">
        <is>
          <t>Liga Argentina</t>
        </is>
      </c>
      <c r="C29" t="inlineStr">
        <is>
          <t>2026-07-29</t>
        </is>
      </c>
      <c r="D29" t="inlineStr">
        <is>
          <t>Torneo Clausura — Regular season</t>
        </is>
      </c>
      <c r="E29" t="inlineStr">
        <is>
          <t>Visitante</t>
        </is>
      </c>
      <c r="F29" t="inlineStr">
        <is>
          <t>Gimnasia–LP</t>
        </is>
      </c>
      <c r="G29" t="n">
        <v>0</v>
      </c>
      <c r="H29" t="n">
        <v>1</v>
      </c>
      <c r="I29" t="n">
        <v>74</v>
      </c>
      <c r="J29" t="inlineStr">
        <is>
          <t>4-2-3-1</t>
        </is>
      </c>
      <c r="L29" t="inlineStr">
        <is>
          <t>Leandro Rey</t>
        </is>
      </c>
      <c r="M29" t="inlineStr">
        <is>
          <t>Perdido</t>
        </is>
      </c>
      <c r="N29" t="n">
        <v>0</v>
      </c>
    </row>
    <row r="30">
      <c r="A30" t="n">
        <v>2026</v>
      </c>
      <c r="B30" t="inlineStr">
        <is>
          <t>Liga Argentina</t>
        </is>
      </c>
      <c r="C30" t="inlineStr">
        <is>
          <t>2026-08-02</t>
        </is>
      </c>
      <c r="D30" t="inlineStr">
        <is>
          <t>Torneo Clausura — Regular season</t>
        </is>
      </c>
      <c r="E30" t="inlineStr">
        <is>
          <t>Local</t>
        </is>
      </c>
      <c r="F30" t="inlineStr">
        <is>
          <t>Rosario Central</t>
        </is>
      </c>
      <c r="G30" t="n">
        <v>0</v>
      </c>
      <c r="H30" t="n">
        <v>1</v>
      </c>
      <c r="I30" t="n">
        <v>65</v>
      </c>
      <c r="J30" t="inlineStr">
        <is>
          <t>4-2-3-1</t>
        </is>
      </c>
      <c r="L30" t="inlineStr">
        <is>
          <t>Nicolás Ramírez</t>
        </is>
      </c>
      <c r="M30" t="inlineStr">
        <is>
          <t>Perdido</t>
        </is>
      </c>
      <c r="N30" t="n">
        <v>0</v>
      </c>
    </row>
    <row r="31">
      <c r="A31" t="n">
        <v>2026</v>
      </c>
      <c r="B31" t="inlineStr">
        <is>
          <t>Liga Argentina</t>
        </is>
      </c>
      <c r="C31" t="inlineStr">
        <is>
          <t>2026-08-08</t>
        </is>
      </c>
      <c r="D31" t="inlineStr">
        <is>
          <t>Torneo Clausura — Regular season</t>
        </is>
      </c>
      <c r="E31" t="inlineStr">
        <is>
          <t>Visitante</t>
        </is>
      </c>
      <c r="F31" t="inlineStr">
        <is>
          <t>Tigre</t>
        </is>
      </c>
      <c r="G31" t="n">
        <v>0</v>
      </c>
      <c r="H31" t="n">
        <v>1</v>
      </c>
      <c r="I31" t="n">
        <v>68</v>
      </c>
      <c r="J31" t="inlineStr">
        <is>
          <t>4-2-3-1</t>
        </is>
      </c>
      <c r="L31" t="inlineStr">
        <is>
          <t>Carlos Gareano</t>
        </is>
      </c>
      <c r="M31" t="inlineStr">
        <is>
          <t>Perdido</t>
        </is>
      </c>
      <c r="N31" t="n">
        <v>0</v>
      </c>
    </row>
    <row r="32">
      <c r="A32" t="n">
        <v>2026</v>
      </c>
      <c r="B32" t="inlineStr">
        <is>
          <t>Liga Argentina</t>
        </is>
      </c>
      <c r="C32" t="inlineStr">
        <is>
          <t>2026-08-16</t>
        </is>
      </c>
      <c r="D32" t="inlineStr">
        <is>
          <t>Torneo Clausura — Regular season</t>
        </is>
      </c>
      <c r="E32" t="inlineStr">
        <is>
          <t>Local</t>
        </is>
      </c>
      <c r="F32" t="inlineStr">
        <is>
          <t>Arg Juniors</t>
        </is>
      </c>
      <c r="M32" t="inlineStr">
        <is>
          <t>Pendiente</t>
        </is>
      </c>
    </row>
    <row r="33">
      <c r="A33" t="n">
        <v>2026</v>
      </c>
      <c r="B33" t="inlineStr">
        <is>
          <t>Sudamericana</t>
        </is>
      </c>
      <c r="C33" t="inlineStr">
        <is>
          <t>2026-08-19</t>
        </is>
      </c>
      <c r="D33" t="inlineStr">
        <is>
          <t>Round of 16</t>
        </is>
      </c>
      <c r="E33" t="inlineStr">
        <is>
          <t>Visitante</t>
        </is>
      </c>
      <c r="F33" t="inlineStr">
        <is>
          <t>co Santa Fe</t>
        </is>
      </c>
      <c r="M33" t="inlineStr">
        <is>
          <t>Pendiente</t>
        </is>
      </c>
    </row>
    <row r="34">
      <c r="A34" t="n">
        <v>2026</v>
      </c>
      <c r="B34" t="inlineStr">
        <is>
          <t>Liga Argentina</t>
        </is>
      </c>
      <c r="C34" t="inlineStr">
        <is>
          <t>2026-08-23</t>
        </is>
      </c>
      <c r="D34" t="inlineStr">
        <is>
          <t>Torneo Clausura — Regular season</t>
        </is>
      </c>
      <c r="E34" t="inlineStr">
        <is>
          <t>Local</t>
        </is>
      </c>
      <c r="F34" t="inlineStr">
        <is>
          <t>Vélez Sarsfield</t>
        </is>
      </c>
      <c r="M34" t="inlineStr">
        <is>
          <t>Pendiente</t>
        </is>
      </c>
    </row>
    <row r="35">
      <c r="A35" t="n">
        <v>2026</v>
      </c>
      <c r="B35" t="inlineStr">
        <is>
          <t>Sudamericana</t>
        </is>
      </c>
      <c r="C35" t="inlineStr">
        <is>
          <t>2026-08-26</t>
        </is>
      </c>
      <c r="D35" t="inlineStr">
        <is>
          <t>Round of 16</t>
        </is>
      </c>
      <c r="E35" t="inlineStr">
        <is>
          <t>Local</t>
        </is>
      </c>
      <c r="F35" t="inlineStr">
        <is>
          <t>co Santa Fe</t>
        </is>
      </c>
      <c r="M35" t="inlineStr">
        <is>
          <t>Pendiente</t>
        </is>
      </c>
    </row>
    <row r="36">
      <c r="A36" t="n">
        <v>2026</v>
      </c>
      <c r="B36" t="inlineStr">
        <is>
          <t>Liga Argentina</t>
        </is>
      </c>
      <c r="C36" t="inlineStr">
        <is>
          <t>2026-08-30</t>
        </is>
      </c>
      <c r="D36" t="inlineStr">
        <is>
          <t>Torneo Clausura — Regular season</t>
        </is>
      </c>
      <c r="E36" t="inlineStr">
        <is>
          <t>Visitante</t>
        </is>
      </c>
      <c r="F36" t="inlineStr">
        <is>
          <t>Banfield</t>
        </is>
      </c>
      <c r="M36" t="inlineStr">
        <is>
          <t>Pendiente</t>
        </is>
      </c>
    </row>
    <row r="37">
      <c r="A37" t="n">
        <v>2026</v>
      </c>
      <c r="B37" t="inlineStr">
        <is>
          <t>Liga Argentina</t>
        </is>
      </c>
      <c r="C37" t="inlineStr">
        <is>
          <t>2026-09-06</t>
        </is>
      </c>
      <c r="D37" t="inlineStr">
        <is>
          <t>Torneo Clausura — Regular season</t>
        </is>
      </c>
      <c r="E37" t="inlineStr">
        <is>
          <t>Local</t>
        </is>
      </c>
      <c r="F37" t="inlineStr">
        <is>
          <t>Ind. Rivadavia</t>
        </is>
      </c>
      <c r="M37" t="inlineStr">
        <is>
          <t>Pendiente</t>
        </is>
      </c>
    </row>
    <row r="38">
      <c r="A38" t="n">
        <v>2026</v>
      </c>
      <c r="B38" t="inlineStr">
        <is>
          <t>Liga Argentina</t>
        </is>
      </c>
      <c r="C38" t="inlineStr">
        <is>
          <t>2026-09-13</t>
        </is>
      </c>
      <c r="D38" t="inlineStr">
        <is>
          <t>Torneo Clausura — Regular season</t>
        </is>
      </c>
      <c r="E38" t="inlineStr">
        <is>
          <t>Visitante</t>
        </is>
      </c>
      <c r="F38" t="inlineStr">
        <is>
          <t>Atlé Tucumán</t>
        </is>
      </c>
      <c r="M38" t="inlineStr">
        <is>
          <t>Pendiente</t>
        </is>
      </c>
    </row>
    <row r="39">
      <c r="A39" t="n">
        <v>2026</v>
      </c>
      <c r="B39" t="inlineStr">
        <is>
          <t>Liga Argentina</t>
        </is>
      </c>
      <c r="C39" t="inlineStr">
        <is>
          <t>2026-09-20</t>
        </is>
      </c>
      <c r="D39" t="inlineStr">
        <is>
          <t>Torneo Clausura — Regular season</t>
        </is>
      </c>
      <c r="E39" t="inlineStr">
        <is>
          <t>Local</t>
        </is>
      </c>
      <c r="F39" t="inlineStr">
        <is>
          <t>Huracán</t>
        </is>
      </c>
      <c r="M39" t="inlineStr">
        <is>
          <t>Pendiente</t>
        </is>
      </c>
    </row>
    <row r="40">
      <c r="A40" t="n">
        <v>2026</v>
      </c>
      <c r="B40" t="inlineStr">
        <is>
          <t>Liga Argentina</t>
        </is>
      </c>
      <c r="C40" t="inlineStr">
        <is>
          <t>2026-10-04</t>
        </is>
      </c>
      <c r="D40" t="inlineStr">
        <is>
          <t>Torneo Clausura — Regular season</t>
        </is>
      </c>
      <c r="E40" t="inlineStr">
        <is>
          <t>Visitante</t>
        </is>
      </c>
      <c r="F40" t="inlineStr">
        <is>
          <t>Sarmiento–J</t>
        </is>
      </c>
      <c r="M40" t="inlineStr">
        <is>
          <t>Pendiente</t>
        </is>
      </c>
    </row>
    <row r="41">
      <c r="A41" t="n">
        <v>2026</v>
      </c>
      <c r="B41" t="inlineStr">
        <is>
          <t>Liga Argentina</t>
        </is>
      </c>
      <c r="C41" t="inlineStr">
        <is>
          <t>2026-10-11</t>
        </is>
      </c>
      <c r="D41" t="inlineStr">
        <is>
          <t>Torneo Clausura — Regular season</t>
        </is>
      </c>
      <c r="E41" t="inlineStr">
        <is>
          <t>Local</t>
        </is>
      </c>
      <c r="F41" t="inlineStr">
        <is>
          <t>Estudiantes–RC</t>
        </is>
      </c>
      <c r="M41" t="inlineStr">
        <is>
          <t>Pendiente</t>
        </is>
      </c>
    </row>
    <row r="42">
      <c r="A42" t="n">
        <v>2026</v>
      </c>
      <c r="B42" t="inlineStr">
        <is>
          <t>Liga Argentina</t>
        </is>
      </c>
      <c r="C42" t="inlineStr">
        <is>
          <t>2026-10-18</t>
        </is>
      </c>
      <c r="D42" t="inlineStr">
        <is>
          <t>Torneo Clausura — Regular season</t>
        </is>
      </c>
      <c r="E42" t="inlineStr">
        <is>
          <t>Visitante</t>
        </is>
      </c>
      <c r="F42" t="inlineStr">
        <is>
          <t>Belgrano</t>
        </is>
      </c>
      <c r="M42" t="inlineStr">
        <is>
          <t>Pendiente</t>
        </is>
      </c>
    </row>
    <row r="43">
      <c r="A43" t="n">
        <v>2026</v>
      </c>
      <c r="B43" t="inlineStr">
        <is>
          <t>Liga Argentina</t>
        </is>
      </c>
      <c r="C43" t="inlineStr">
        <is>
          <t>2026-10-25</t>
        </is>
      </c>
      <c r="D43" t="inlineStr">
        <is>
          <t>Torneo Clausura — Regular season</t>
        </is>
      </c>
      <c r="E43" t="inlineStr">
        <is>
          <t>Local</t>
        </is>
      </c>
      <c r="F43" t="inlineStr">
        <is>
          <t>Racing Club</t>
        </is>
      </c>
      <c r="M43" t="inlineStr">
        <is>
          <t>Pendiente</t>
        </is>
      </c>
    </row>
    <row r="44">
      <c r="A44" t="n">
        <v>2026</v>
      </c>
      <c r="B44" t="inlineStr">
        <is>
          <t>Liga Argentina</t>
        </is>
      </c>
      <c r="C44" t="inlineStr">
        <is>
          <t>2026-11-01</t>
        </is>
      </c>
      <c r="D44" t="inlineStr">
        <is>
          <t>Torneo Clausura — Regular season</t>
        </is>
      </c>
      <c r="E44" t="inlineStr">
        <is>
          <t>Visitante</t>
        </is>
      </c>
      <c r="F44" t="inlineStr">
        <is>
          <t>Boca Juniors</t>
        </is>
      </c>
      <c r="M44" t="inlineStr">
        <is>
          <t>Pendiente</t>
        </is>
      </c>
    </row>
    <row r="45">
      <c r="A45" t="n">
        <v>2026</v>
      </c>
      <c r="B45" t="inlineStr">
        <is>
          <t>Liga Argentina</t>
        </is>
      </c>
      <c r="C45" t="inlineStr">
        <is>
          <t>2026-11-08</t>
        </is>
      </c>
      <c r="D45" t="inlineStr">
        <is>
          <t>Torneo Clausura — Regular season</t>
        </is>
      </c>
      <c r="E45" t="inlineStr">
        <is>
          <t>Visitante</t>
        </is>
      </c>
      <c r="F45" t="inlineStr">
        <is>
          <t>Aldosivi</t>
        </is>
      </c>
      <c r="M45" t="inlineStr">
        <is>
          <t>Pendiente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Temporada</t>
        </is>
      </c>
      <c r="B1" s="3" t="inlineStr">
        <is>
          <t>Competencia</t>
        </is>
      </c>
      <c r="C1" s="3" t="inlineStr">
        <is>
          <t>Jugador</t>
        </is>
      </c>
      <c r="D1" s="3" t="inlineStr">
        <is>
          <t>Posición</t>
        </is>
      </c>
      <c r="E1" s="3" t="inlineStr">
        <is>
          <t>Edad</t>
        </is>
      </c>
      <c r="F1" s="3" t="inlineStr">
        <is>
          <t>Partidos_Jugados</t>
        </is>
      </c>
      <c r="G1" s="3" t="inlineStr">
        <is>
          <t>Titular</t>
        </is>
      </c>
      <c r="H1" s="3" t="inlineStr">
        <is>
          <t>Minutos</t>
        </is>
      </c>
      <c r="I1" s="3" t="inlineStr">
        <is>
          <t>Goles</t>
        </is>
      </c>
      <c r="J1" s="3" t="inlineStr">
        <is>
          <t>Asistencias</t>
        </is>
      </c>
      <c r="K1" s="3" t="inlineStr">
        <is>
          <t>Goles_y_Asistencias</t>
        </is>
      </c>
      <c r="L1" s="3" t="inlineStr">
        <is>
          <t>Penales_Convertidos</t>
        </is>
      </c>
      <c r="M1" s="3" t="inlineStr">
        <is>
          <t>Penales_Intentados</t>
        </is>
      </c>
      <c r="N1" s="3" t="inlineStr">
        <is>
          <t>Tarjetas_Amarillas</t>
        </is>
      </c>
      <c r="O1" s="3" t="inlineStr">
        <is>
          <t>Tarjetas_Rojas</t>
        </is>
      </c>
      <c r="P1" s="3" t="inlineStr">
        <is>
          <t>Tiros</t>
        </is>
      </c>
      <c r="Q1" s="3" t="inlineStr">
        <is>
          <t>Tiros_al_Arco</t>
        </is>
      </c>
      <c r="R1" s="3" t="inlineStr">
        <is>
          <t>Faltas_Cometidas</t>
        </is>
      </c>
      <c r="S1" s="3" t="inlineStr">
        <is>
          <t>Faltas_Recibidas</t>
        </is>
      </c>
      <c r="T1" s="3" t="inlineStr">
        <is>
          <t>Offsides</t>
        </is>
      </c>
      <c r="U1" s="3" t="inlineStr">
        <is>
          <t>Centros</t>
        </is>
      </c>
      <c r="V1" s="3" t="inlineStr">
        <is>
          <t>Tackles_Ganados</t>
        </is>
      </c>
      <c r="W1" s="3" t="inlineStr">
        <is>
          <t>Intercepciones</t>
        </is>
      </c>
      <c r="X1" s="3" t="inlineStr">
        <is>
          <t>Tiros_al_Arco_Recibidos</t>
        </is>
      </c>
      <c r="Y1" s="3" t="inlineStr">
        <is>
          <t>Goles_Recibidos</t>
        </is>
      </c>
      <c r="Z1" s="3" t="inlineStr">
        <is>
          <t>Atajadas</t>
        </is>
      </c>
      <c r="AA1" s="3" t="inlineStr">
        <is>
          <t>Vallas_Invictas</t>
        </is>
      </c>
      <c r="AB1" s="3" t="inlineStr">
        <is>
          <t>Es_Agregado</t>
        </is>
      </c>
      <c r="AC1" s="3" t="inlineStr">
        <is>
          <t>Goles_por_90</t>
        </is>
      </c>
      <c r="AD1" s="3" t="inlineStr">
        <is>
          <t>Asistencias_por_90</t>
        </is>
      </c>
      <c r="AE1" s="3" t="inlineStr">
        <is>
          <t>%_Tiros_al_Arco</t>
        </is>
      </c>
      <c r="AF1" s="3" t="inlineStr">
        <is>
          <t>%_Conversión_de_Gol</t>
        </is>
      </c>
      <c r="AG1" s="3" t="inlineStr">
        <is>
          <t>%_Atajadas</t>
        </is>
      </c>
    </row>
    <row r="2">
      <c r="A2" t="n">
        <v>2026</v>
      </c>
      <c r="B2" t="inlineStr">
        <is>
          <t>Liga Argentina</t>
        </is>
      </c>
      <c r="C2" t="inlineStr">
        <is>
          <t>Gonzalo Montiel</t>
        </is>
      </c>
      <c r="E2" t="n">
        <v>29</v>
      </c>
      <c r="F2" t="n">
        <v>18</v>
      </c>
      <c r="G2" t="n">
        <v>18</v>
      </c>
      <c r="H2" t="n">
        <v>1619</v>
      </c>
      <c r="I2" t="n">
        <v>4</v>
      </c>
      <c r="J2" t="n">
        <v>1</v>
      </c>
      <c r="K2" t="n">
        <v>5</v>
      </c>
      <c r="L2" t="n">
        <v>2</v>
      </c>
      <c r="M2" t="n">
        <v>2</v>
      </c>
      <c r="N2" t="n">
        <v>4</v>
      </c>
      <c r="O2" t="n">
        <v>0</v>
      </c>
      <c r="P2" t="n">
        <v>18</v>
      </c>
      <c r="Q2" t="n">
        <v>5</v>
      </c>
      <c r="R2" t="n">
        <v>9</v>
      </c>
      <c r="S2" t="n">
        <v>19</v>
      </c>
      <c r="T2" t="n">
        <v>5</v>
      </c>
      <c r="U2" t="n">
        <v>41</v>
      </c>
      <c r="V2" t="n">
        <v>17</v>
      </c>
      <c r="W2" t="n">
        <v>22</v>
      </c>
      <c r="AB2" t="b">
        <v>0</v>
      </c>
      <c r="AC2" t="n">
        <v>0.22</v>
      </c>
      <c r="AD2" t="n">
        <v>0.06</v>
      </c>
      <c r="AE2" t="n">
        <v>27.78</v>
      </c>
      <c r="AF2" t="n">
        <v>22.22</v>
      </c>
    </row>
    <row r="3">
      <c r="A3" t="n">
        <v>2026</v>
      </c>
      <c r="B3" t="inlineStr">
        <is>
          <t>Liga Argentina</t>
        </is>
      </c>
      <c r="C3" t="inlineStr">
        <is>
          <t>Sebastián Driussi</t>
        </is>
      </c>
      <c r="E3" t="n">
        <v>30</v>
      </c>
      <c r="F3" t="n">
        <v>12</v>
      </c>
      <c r="G3" t="n">
        <v>12</v>
      </c>
      <c r="H3" t="n">
        <v>856</v>
      </c>
      <c r="I3" t="n">
        <v>4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31</v>
      </c>
      <c r="Q3" t="n">
        <v>13</v>
      </c>
      <c r="R3" t="n">
        <v>7</v>
      </c>
      <c r="S3" t="n">
        <v>17</v>
      </c>
      <c r="T3" t="n">
        <v>3</v>
      </c>
      <c r="U3" t="n">
        <v>3</v>
      </c>
      <c r="V3" t="n">
        <v>7</v>
      </c>
      <c r="W3" t="n">
        <v>3</v>
      </c>
      <c r="AB3" t="b">
        <v>0</v>
      </c>
      <c r="AC3" t="n">
        <v>0.42</v>
      </c>
      <c r="AD3" t="n">
        <v>0</v>
      </c>
      <c r="AE3" t="n">
        <v>41.94</v>
      </c>
      <c r="AF3" t="n">
        <v>12.9</v>
      </c>
    </row>
    <row r="4">
      <c r="A4" t="n">
        <v>2026</v>
      </c>
      <c r="B4" t="inlineStr">
        <is>
          <t>Liga Argentina</t>
        </is>
      </c>
      <c r="C4" t="inlineStr">
        <is>
          <t>Facundo Colidio</t>
        </is>
      </c>
      <c r="E4" t="n">
        <v>26</v>
      </c>
      <c r="F4" t="n">
        <v>15</v>
      </c>
      <c r="G4" t="n">
        <v>12</v>
      </c>
      <c r="H4" t="n">
        <v>977</v>
      </c>
      <c r="I4" t="n">
        <v>3</v>
      </c>
      <c r="J4" t="n">
        <v>1</v>
      </c>
      <c r="K4" t="n">
        <v>4</v>
      </c>
      <c r="L4" t="n">
        <v>0</v>
      </c>
      <c r="M4" t="n">
        <v>0</v>
      </c>
      <c r="N4" t="n">
        <v>1</v>
      </c>
      <c r="O4" t="n">
        <v>1</v>
      </c>
      <c r="P4" t="n">
        <v>25</v>
      </c>
      <c r="Q4" t="n">
        <v>10</v>
      </c>
      <c r="R4" t="n">
        <v>14</v>
      </c>
      <c r="S4" t="n">
        <v>30</v>
      </c>
      <c r="T4" t="n">
        <v>1</v>
      </c>
      <c r="U4" t="n">
        <v>20</v>
      </c>
      <c r="V4" t="n">
        <v>8</v>
      </c>
      <c r="W4" t="n">
        <v>2</v>
      </c>
      <c r="AB4" t="b">
        <v>0</v>
      </c>
      <c r="AC4" t="n">
        <v>0.28</v>
      </c>
      <c r="AD4" t="n">
        <v>0.09</v>
      </c>
      <c r="AE4" t="n">
        <v>40</v>
      </c>
      <c r="AF4" t="n">
        <v>12</v>
      </c>
    </row>
    <row r="5">
      <c r="A5" t="n">
        <v>2026</v>
      </c>
      <c r="B5" t="inlineStr">
        <is>
          <t>Liga Argentina</t>
        </is>
      </c>
      <c r="C5" t="inlineStr">
        <is>
          <t>Tomás Galván</t>
        </is>
      </c>
      <c r="E5" t="n">
        <v>26</v>
      </c>
      <c r="F5" t="n">
        <v>20</v>
      </c>
      <c r="G5" t="n">
        <v>19</v>
      </c>
      <c r="H5" t="n">
        <v>1424</v>
      </c>
      <c r="I5" t="n">
        <v>2</v>
      </c>
      <c r="J5" t="n">
        <v>1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28</v>
      </c>
      <c r="Q5" t="n">
        <v>9</v>
      </c>
      <c r="R5" t="n">
        <v>16</v>
      </c>
      <c r="S5" t="n">
        <v>50</v>
      </c>
      <c r="T5" t="n">
        <v>0</v>
      </c>
      <c r="U5" t="n">
        <v>39</v>
      </c>
      <c r="V5" t="n">
        <v>24</v>
      </c>
      <c r="W5" t="n">
        <v>12</v>
      </c>
      <c r="AB5" t="b">
        <v>0</v>
      </c>
      <c r="AC5" t="n">
        <v>0.13</v>
      </c>
      <c r="AD5" t="n">
        <v>0.06</v>
      </c>
      <c r="AE5" t="n">
        <v>32.14</v>
      </c>
      <c r="AF5" t="n">
        <v>7.14</v>
      </c>
    </row>
    <row r="6">
      <c r="A6" t="n">
        <v>2026</v>
      </c>
      <c r="B6" t="inlineStr">
        <is>
          <t>Liga Argentina</t>
        </is>
      </c>
      <c r="C6" t="inlineStr">
        <is>
          <t>Juan Quintero</t>
        </is>
      </c>
      <c r="E6" t="n">
        <v>33</v>
      </c>
      <c r="F6" t="n">
        <v>12</v>
      </c>
      <c r="G6" t="n">
        <v>6</v>
      </c>
      <c r="H6" t="n">
        <v>549</v>
      </c>
      <c r="I6" t="n">
        <v>2</v>
      </c>
      <c r="J6" t="n">
        <v>2</v>
      </c>
      <c r="K6" t="n">
        <v>4</v>
      </c>
      <c r="L6" t="n">
        <v>0</v>
      </c>
      <c r="M6" t="n">
        <v>1</v>
      </c>
      <c r="N6" t="n">
        <v>0</v>
      </c>
      <c r="O6" t="n">
        <v>0</v>
      </c>
      <c r="P6" t="n">
        <v>37</v>
      </c>
      <c r="Q6" t="n">
        <v>19</v>
      </c>
      <c r="R6" t="n">
        <v>1</v>
      </c>
      <c r="S6" t="n">
        <v>8</v>
      </c>
      <c r="T6" t="n">
        <v>1</v>
      </c>
      <c r="U6" t="n">
        <v>47</v>
      </c>
      <c r="V6" t="n">
        <v>2</v>
      </c>
      <c r="W6" t="n">
        <v>1</v>
      </c>
      <c r="AB6" t="b">
        <v>0</v>
      </c>
      <c r="AC6" t="n">
        <v>0.33</v>
      </c>
      <c r="AD6" t="n">
        <v>0.33</v>
      </c>
      <c r="AE6" t="n">
        <v>51.35</v>
      </c>
      <c r="AF6" t="n">
        <v>5.41</v>
      </c>
    </row>
    <row r="7">
      <c r="A7" t="n">
        <v>2026</v>
      </c>
      <c r="B7" t="inlineStr">
        <is>
          <t>Liga Argentina</t>
        </is>
      </c>
      <c r="C7" t="inlineStr">
        <is>
          <t>Lucas Martínez Quarta</t>
        </is>
      </c>
      <c r="E7" t="n">
        <v>30</v>
      </c>
      <c r="F7" t="n">
        <v>19</v>
      </c>
      <c r="G7" t="n">
        <v>19</v>
      </c>
      <c r="H7" t="n">
        <v>1700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6</v>
      </c>
      <c r="O7" t="n">
        <v>0</v>
      </c>
      <c r="P7" t="n">
        <v>25</v>
      </c>
      <c r="Q7" t="n">
        <v>8</v>
      </c>
      <c r="R7" t="n">
        <v>22</v>
      </c>
      <c r="S7" t="n">
        <v>17</v>
      </c>
      <c r="T7" t="n">
        <v>2</v>
      </c>
      <c r="U7" t="n">
        <v>2</v>
      </c>
      <c r="V7" t="n">
        <v>22</v>
      </c>
      <c r="W7" t="n">
        <v>32</v>
      </c>
      <c r="AB7" t="b">
        <v>0</v>
      </c>
      <c r="AC7" t="n">
        <v>0.05</v>
      </c>
      <c r="AD7" t="n">
        <v>0</v>
      </c>
      <c r="AE7" t="n">
        <v>32</v>
      </c>
      <c r="AF7" t="n">
        <v>4</v>
      </c>
    </row>
    <row r="8">
      <c r="A8" t="n">
        <v>2026</v>
      </c>
      <c r="B8" t="inlineStr">
        <is>
          <t>Liga Argentina</t>
        </is>
      </c>
      <c r="C8" t="inlineStr">
        <is>
          <t>Lautaro Rivero</t>
        </is>
      </c>
      <c r="E8" t="n">
        <v>22</v>
      </c>
      <c r="F8" t="n">
        <v>15</v>
      </c>
      <c r="G8" t="n">
        <v>15</v>
      </c>
      <c r="H8" t="n">
        <v>1319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7</v>
      </c>
      <c r="O8" t="n">
        <v>0</v>
      </c>
      <c r="P8" t="n">
        <v>12</v>
      </c>
      <c r="Q8" t="n">
        <v>3</v>
      </c>
      <c r="R8" t="n">
        <v>16</v>
      </c>
      <c r="S8" t="n">
        <v>22</v>
      </c>
      <c r="T8" t="n">
        <v>0</v>
      </c>
      <c r="U8" t="n">
        <v>5</v>
      </c>
      <c r="V8" t="n">
        <v>22</v>
      </c>
      <c r="W8" t="n">
        <v>24</v>
      </c>
      <c r="AB8" t="b">
        <v>0</v>
      </c>
      <c r="AC8" t="n">
        <v>0.07000000000000001</v>
      </c>
      <c r="AD8" t="n">
        <v>0</v>
      </c>
      <c r="AE8" t="n">
        <v>25</v>
      </c>
      <c r="AF8" t="n">
        <v>8.33</v>
      </c>
    </row>
    <row r="9">
      <c r="A9" t="n">
        <v>2026</v>
      </c>
      <c r="B9" t="inlineStr">
        <is>
          <t>Liga Argentina</t>
        </is>
      </c>
      <c r="C9" t="inlineStr">
        <is>
          <t>Ian Subiabre</t>
        </is>
      </c>
      <c r="E9" t="n">
        <v>19</v>
      </c>
      <c r="F9" t="n">
        <v>16</v>
      </c>
      <c r="G9" t="n">
        <v>9</v>
      </c>
      <c r="H9" t="n">
        <v>753</v>
      </c>
      <c r="I9" t="n">
        <v>1</v>
      </c>
      <c r="J9" t="n">
        <v>2</v>
      </c>
      <c r="K9" t="n">
        <v>3</v>
      </c>
      <c r="L9" t="n">
        <v>0</v>
      </c>
      <c r="M9" t="n">
        <v>0</v>
      </c>
      <c r="N9" t="n">
        <v>2</v>
      </c>
      <c r="O9" t="n">
        <v>0</v>
      </c>
      <c r="P9" t="n">
        <v>19</v>
      </c>
      <c r="Q9" t="n">
        <v>6</v>
      </c>
      <c r="R9" t="n">
        <v>20</v>
      </c>
      <c r="S9" t="n">
        <v>16</v>
      </c>
      <c r="T9" t="n">
        <v>0</v>
      </c>
      <c r="U9" t="n">
        <v>46</v>
      </c>
      <c r="V9" t="n">
        <v>6</v>
      </c>
      <c r="W9" t="n">
        <v>8</v>
      </c>
      <c r="AB9" t="b">
        <v>0</v>
      </c>
      <c r="AC9" t="n">
        <v>0.12</v>
      </c>
      <c r="AD9" t="n">
        <v>0.24</v>
      </c>
      <c r="AE9" t="n">
        <v>31.58</v>
      </c>
      <c r="AF9" t="n">
        <v>5.26</v>
      </c>
    </row>
    <row r="10">
      <c r="A10" t="n">
        <v>2026</v>
      </c>
      <c r="B10" t="inlineStr">
        <is>
          <t>Liga Argentina</t>
        </is>
      </c>
      <c r="C10" t="inlineStr">
        <is>
          <t>Joaquín Freitas</t>
        </is>
      </c>
      <c r="E10" t="n">
        <v>19</v>
      </c>
      <c r="F10" t="n">
        <v>14</v>
      </c>
      <c r="G10" t="n">
        <v>6</v>
      </c>
      <c r="H10" t="n">
        <v>726</v>
      </c>
      <c r="I10" t="n">
        <v>1</v>
      </c>
      <c r="J10" t="n">
        <v>1</v>
      </c>
      <c r="K10" t="n">
        <v>2</v>
      </c>
      <c r="L10" t="n">
        <v>0</v>
      </c>
      <c r="M10" t="n">
        <v>0</v>
      </c>
      <c r="N10" t="n">
        <v>2</v>
      </c>
      <c r="O10" t="n">
        <v>0</v>
      </c>
      <c r="P10" t="n">
        <v>17</v>
      </c>
      <c r="Q10" t="n">
        <v>6</v>
      </c>
      <c r="R10" t="n">
        <v>25</v>
      </c>
      <c r="S10" t="n">
        <v>18</v>
      </c>
      <c r="T10" t="n">
        <v>10</v>
      </c>
      <c r="U10" t="n">
        <v>24</v>
      </c>
      <c r="V10" t="n">
        <v>14</v>
      </c>
      <c r="W10" t="n">
        <v>6</v>
      </c>
      <c r="AB10" t="b">
        <v>0</v>
      </c>
      <c r="AC10" t="n">
        <v>0.12</v>
      </c>
      <c r="AD10" t="n">
        <v>0.12</v>
      </c>
      <c r="AE10" t="n">
        <v>35.29</v>
      </c>
      <c r="AF10" t="n">
        <v>5.88</v>
      </c>
    </row>
    <row r="11">
      <c r="A11" t="n">
        <v>2026</v>
      </c>
      <c r="B11" t="inlineStr">
        <is>
          <t>Liga Argentina</t>
        </is>
      </c>
      <c r="C11" t="inlineStr">
        <is>
          <t>Kendry Páez</t>
        </is>
      </c>
      <c r="E11" t="n">
        <v>19</v>
      </c>
      <c r="F11" t="n">
        <v>8</v>
      </c>
      <c r="G11" t="n">
        <v>3</v>
      </c>
      <c r="H11" t="n">
        <v>317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10</v>
      </c>
      <c r="Q11" t="n">
        <v>4</v>
      </c>
      <c r="R11" t="n">
        <v>3</v>
      </c>
      <c r="S11" t="n">
        <v>3</v>
      </c>
      <c r="T11" t="n">
        <v>0</v>
      </c>
      <c r="U11" t="n">
        <v>17</v>
      </c>
      <c r="V11" t="n">
        <v>3</v>
      </c>
      <c r="W11" t="n">
        <v>5</v>
      </c>
      <c r="AB11" t="b">
        <v>0</v>
      </c>
      <c r="AC11" t="n">
        <v>0.28</v>
      </c>
      <c r="AD11" t="n">
        <v>0</v>
      </c>
      <c r="AE11" t="n">
        <v>40</v>
      </c>
      <c r="AF11" t="n">
        <v>10</v>
      </c>
    </row>
    <row r="12">
      <c r="A12" t="n">
        <v>2026</v>
      </c>
      <c r="B12" t="inlineStr">
        <is>
          <t>Liga Argentina</t>
        </is>
      </c>
      <c r="C12" t="inlineStr">
        <is>
          <t>Maximiliano Salas</t>
        </is>
      </c>
      <c r="E12" t="n">
        <v>28</v>
      </c>
      <c r="F12" t="n">
        <v>12</v>
      </c>
      <c r="G12" t="n">
        <v>2</v>
      </c>
      <c r="H12" t="n">
        <v>392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0</v>
      </c>
      <c r="P12" t="n">
        <v>27</v>
      </c>
      <c r="Q12" t="n">
        <v>10</v>
      </c>
      <c r="R12" t="n">
        <v>11</v>
      </c>
      <c r="S12" t="n">
        <v>6</v>
      </c>
      <c r="T12" t="n">
        <v>6</v>
      </c>
      <c r="U12" t="n">
        <v>14</v>
      </c>
      <c r="V12" t="n">
        <v>7</v>
      </c>
      <c r="W12" t="n">
        <v>1</v>
      </c>
      <c r="AB12" t="b">
        <v>0</v>
      </c>
      <c r="AC12" t="n">
        <v>0.23</v>
      </c>
      <c r="AD12" t="n">
        <v>0</v>
      </c>
      <c r="AE12" t="n">
        <v>37.04</v>
      </c>
      <c r="AF12" t="n">
        <v>3.7</v>
      </c>
    </row>
    <row r="13">
      <c r="A13" t="n">
        <v>2026</v>
      </c>
      <c r="B13" t="inlineStr">
        <is>
          <t>Liga Argentina</t>
        </is>
      </c>
      <c r="C13" t="inlineStr">
        <is>
          <t>Giuliano Galoppo</t>
        </is>
      </c>
      <c r="E13" t="n">
        <v>27</v>
      </c>
      <c r="F13" t="n">
        <v>9</v>
      </c>
      <c r="G13" t="n">
        <v>2</v>
      </c>
      <c r="H13" t="n">
        <v>335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15</v>
      </c>
      <c r="Q13" t="n">
        <v>4</v>
      </c>
      <c r="R13" t="n">
        <v>8</v>
      </c>
      <c r="S13" t="n">
        <v>13</v>
      </c>
      <c r="T13" t="n">
        <v>0</v>
      </c>
      <c r="U13" t="n">
        <v>5</v>
      </c>
      <c r="V13" t="n">
        <v>2</v>
      </c>
      <c r="W13" t="n">
        <v>5</v>
      </c>
      <c r="AB13" t="b">
        <v>0</v>
      </c>
      <c r="AC13" t="n">
        <v>0.27</v>
      </c>
      <c r="AD13" t="n">
        <v>0</v>
      </c>
      <c r="AE13" t="n">
        <v>26.67</v>
      </c>
      <c r="AF13" t="n">
        <v>6.67</v>
      </c>
    </row>
    <row r="14">
      <c r="A14" t="n">
        <v>2026</v>
      </c>
      <c r="B14" t="inlineStr">
        <is>
          <t>Liga Argentina</t>
        </is>
      </c>
      <c r="C14" t="inlineStr">
        <is>
          <t>Santiago Beltrán</t>
        </is>
      </c>
      <c r="E14" t="n">
        <v>21</v>
      </c>
      <c r="F14" t="n">
        <v>20</v>
      </c>
      <c r="G14" t="n">
        <v>19</v>
      </c>
      <c r="H14" t="n">
        <v>1755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68</v>
      </c>
      <c r="Y14" t="n">
        <v>17</v>
      </c>
      <c r="Z14" t="n">
        <v>51</v>
      </c>
      <c r="AA14" t="n">
        <v>10</v>
      </c>
      <c r="AB14" t="b">
        <v>0</v>
      </c>
      <c r="AC14" t="n">
        <v>0</v>
      </c>
      <c r="AD14" t="n">
        <v>0</v>
      </c>
      <c r="AG14" t="n">
        <v>75</v>
      </c>
    </row>
    <row r="15">
      <c r="A15" t="n">
        <v>2026</v>
      </c>
      <c r="B15" t="inlineStr">
        <is>
          <t>Liga Argentina</t>
        </is>
      </c>
      <c r="C15" t="inlineStr">
        <is>
          <t>Aníbal Moreno</t>
        </is>
      </c>
      <c r="E15" t="n">
        <v>27</v>
      </c>
      <c r="F15" t="n">
        <v>18</v>
      </c>
      <c r="G15" t="n">
        <v>18</v>
      </c>
      <c r="H15" t="n">
        <v>1569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2</v>
      </c>
      <c r="O15" t="n">
        <v>0</v>
      </c>
      <c r="P15" t="n">
        <v>18</v>
      </c>
      <c r="Q15" t="n">
        <v>3</v>
      </c>
      <c r="R15" t="n">
        <v>27</v>
      </c>
      <c r="S15" t="n">
        <v>11</v>
      </c>
      <c r="T15" t="n">
        <v>0</v>
      </c>
      <c r="U15" t="n">
        <v>8</v>
      </c>
      <c r="V15" t="n">
        <v>42</v>
      </c>
      <c r="W15" t="n">
        <v>28</v>
      </c>
      <c r="AB15" t="b">
        <v>0</v>
      </c>
      <c r="AC15" t="n">
        <v>0</v>
      </c>
      <c r="AD15" t="n">
        <v>0.11</v>
      </c>
      <c r="AE15" t="n">
        <v>16.67</v>
      </c>
      <c r="AF15" t="n">
        <v>0</v>
      </c>
    </row>
    <row r="16">
      <c r="A16" t="n">
        <v>2026</v>
      </c>
      <c r="B16" t="inlineStr">
        <is>
          <t>Liga Argentina</t>
        </is>
      </c>
      <c r="C16" t="inlineStr">
        <is>
          <t>Fausto Vera</t>
        </is>
      </c>
      <c r="E16" t="n">
        <v>26</v>
      </c>
      <c r="F16" t="n">
        <v>15</v>
      </c>
      <c r="G16" t="n">
        <v>14</v>
      </c>
      <c r="H16" t="n">
        <v>1144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1</v>
      </c>
      <c r="P16" t="n">
        <v>32</v>
      </c>
      <c r="Q16" t="n">
        <v>8</v>
      </c>
      <c r="R16" t="n">
        <v>23</v>
      </c>
      <c r="S16" t="n">
        <v>10</v>
      </c>
      <c r="T16" t="n">
        <v>0</v>
      </c>
      <c r="U16" t="n">
        <v>10</v>
      </c>
      <c r="V16" t="n">
        <v>26</v>
      </c>
      <c r="W16" t="n">
        <v>8</v>
      </c>
      <c r="AB16" t="b">
        <v>0</v>
      </c>
      <c r="AC16" t="n">
        <v>0</v>
      </c>
      <c r="AD16" t="n">
        <v>0</v>
      </c>
      <c r="AE16" t="n">
        <v>25</v>
      </c>
      <c r="AF16" t="n">
        <v>0</v>
      </c>
    </row>
    <row r="17">
      <c r="A17" t="n">
        <v>2026</v>
      </c>
      <c r="B17" t="inlineStr">
        <is>
          <t>Liga Argentina</t>
        </is>
      </c>
      <c r="C17" t="inlineStr">
        <is>
          <t>Marcos Acuña</t>
        </is>
      </c>
      <c r="E17" t="n">
        <v>34</v>
      </c>
      <c r="F17" t="n">
        <v>13</v>
      </c>
      <c r="G17" t="n">
        <v>11</v>
      </c>
      <c r="H17" t="n">
        <v>987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7</v>
      </c>
      <c r="O17" t="n">
        <v>0</v>
      </c>
      <c r="P17" t="n">
        <v>13</v>
      </c>
      <c r="Q17" t="n">
        <v>3</v>
      </c>
      <c r="R17" t="n">
        <v>10</v>
      </c>
      <c r="S17" t="n">
        <v>11</v>
      </c>
      <c r="T17" t="n">
        <v>0</v>
      </c>
      <c r="U17" t="n">
        <v>67</v>
      </c>
      <c r="V17" t="n">
        <v>20</v>
      </c>
      <c r="W17" t="n">
        <v>12</v>
      </c>
      <c r="AB17" t="b">
        <v>0</v>
      </c>
      <c r="AC17" t="n">
        <v>0</v>
      </c>
      <c r="AD17" t="n">
        <v>0.09</v>
      </c>
      <c r="AE17" t="n">
        <v>23.08</v>
      </c>
      <c r="AF17" t="n">
        <v>0</v>
      </c>
    </row>
    <row r="18">
      <c r="A18" t="n">
        <v>2026</v>
      </c>
      <c r="B18" t="inlineStr">
        <is>
          <t>Liga Argentina</t>
        </is>
      </c>
      <c r="C18" t="inlineStr">
        <is>
          <t>Matías Viña</t>
        </is>
      </c>
      <c r="E18" t="n">
        <v>28</v>
      </c>
      <c r="F18" t="n">
        <v>8</v>
      </c>
      <c r="G18" t="n">
        <v>5</v>
      </c>
      <c r="H18" t="n">
        <v>402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1</v>
      </c>
      <c r="P18" t="n">
        <v>6</v>
      </c>
      <c r="Q18" t="n">
        <v>1</v>
      </c>
      <c r="R18" t="n">
        <v>11</v>
      </c>
      <c r="S18" t="n">
        <v>10</v>
      </c>
      <c r="T18" t="n">
        <v>0</v>
      </c>
      <c r="U18" t="n">
        <v>26</v>
      </c>
      <c r="V18" t="n">
        <v>9</v>
      </c>
      <c r="W18" t="n">
        <v>15</v>
      </c>
      <c r="AB18" t="b">
        <v>0</v>
      </c>
      <c r="AC18" t="n">
        <v>0</v>
      </c>
      <c r="AD18" t="n">
        <v>0</v>
      </c>
      <c r="AE18" t="n">
        <v>16.67</v>
      </c>
      <c r="AF18" t="n">
        <v>0</v>
      </c>
    </row>
    <row r="19">
      <c r="A19" t="n">
        <v>2026</v>
      </c>
      <c r="B19" t="inlineStr">
        <is>
          <t>Liga Argentina</t>
        </is>
      </c>
      <c r="C19" t="inlineStr">
        <is>
          <t>Nicolás Otamendi</t>
        </is>
      </c>
      <c r="E19" t="n">
        <v>38</v>
      </c>
      <c r="F19" t="n">
        <v>4</v>
      </c>
      <c r="G19" t="n">
        <v>4</v>
      </c>
      <c r="H19" t="n">
        <v>360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5</v>
      </c>
      <c r="Q19" t="n">
        <v>0</v>
      </c>
      <c r="R19" t="n">
        <v>6</v>
      </c>
      <c r="S19" t="n">
        <v>3</v>
      </c>
      <c r="T19" t="n">
        <v>0</v>
      </c>
      <c r="U19" t="n">
        <v>1</v>
      </c>
      <c r="V19" t="n">
        <v>4</v>
      </c>
      <c r="W19" t="n">
        <v>5</v>
      </c>
      <c r="AB19" t="b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2026</v>
      </c>
      <c r="B20" t="inlineStr">
        <is>
          <t>Liga Argentina</t>
        </is>
      </c>
      <c r="C20" t="inlineStr">
        <is>
          <t>Rafael Borré</t>
        </is>
      </c>
      <c r="E20" t="n">
        <v>30</v>
      </c>
      <c r="F20" t="n">
        <v>4</v>
      </c>
      <c r="G20" t="n">
        <v>2</v>
      </c>
      <c r="H20" t="n">
        <v>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1</v>
      </c>
      <c r="R20" t="n">
        <v>5</v>
      </c>
      <c r="S20" t="n">
        <v>4</v>
      </c>
      <c r="T20" t="n">
        <v>1</v>
      </c>
      <c r="U20" t="n">
        <v>1</v>
      </c>
      <c r="V20" t="n">
        <v>2</v>
      </c>
      <c r="W20" t="n">
        <v>0</v>
      </c>
      <c r="AB20" t="b">
        <v>0</v>
      </c>
      <c r="AC20" t="n">
        <v>0</v>
      </c>
      <c r="AD20" t="n">
        <v>0</v>
      </c>
      <c r="AE20" t="n">
        <v>25</v>
      </c>
      <c r="AF20" t="n">
        <v>0</v>
      </c>
    </row>
    <row r="21">
      <c r="A21" t="n">
        <v>2026</v>
      </c>
      <c r="B21" t="inlineStr">
        <is>
          <t>Liga Argentina</t>
        </is>
      </c>
      <c r="C21" t="inlineStr">
        <is>
          <t>Lucas Beltrán</t>
        </is>
      </c>
      <c r="E21" t="n">
        <v>25</v>
      </c>
      <c r="F21" t="n">
        <v>4</v>
      </c>
      <c r="G21" t="n">
        <v>2</v>
      </c>
      <c r="H21" t="n">
        <v>223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  <c r="Q21" t="n">
        <v>3</v>
      </c>
      <c r="R21" t="n">
        <v>3</v>
      </c>
      <c r="S21" t="n">
        <v>4</v>
      </c>
      <c r="T21" t="n">
        <v>0</v>
      </c>
      <c r="U21" t="n">
        <v>1</v>
      </c>
      <c r="V21" t="n">
        <v>1</v>
      </c>
      <c r="W21" t="n">
        <v>0</v>
      </c>
      <c r="AB21" t="b">
        <v>0</v>
      </c>
      <c r="AC21" t="n">
        <v>0</v>
      </c>
      <c r="AD21" t="n">
        <v>0</v>
      </c>
      <c r="AE21" t="n">
        <v>60</v>
      </c>
      <c r="AF21" t="n">
        <v>0</v>
      </c>
    </row>
    <row r="22">
      <c r="A22" t="n">
        <v>2026</v>
      </c>
      <c r="B22" t="inlineStr">
        <is>
          <t>Liga Argentina</t>
        </is>
      </c>
      <c r="C22" t="inlineStr">
        <is>
          <t>Paulo Díaz</t>
        </is>
      </c>
      <c r="E22" t="n">
        <v>31</v>
      </c>
      <c r="F22" t="n">
        <v>5</v>
      </c>
      <c r="G22" t="n">
        <v>2</v>
      </c>
      <c r="H22" t="n">
        <v>197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2</v>
      </c>
      <c r="S22" t="n">
        <v>1</v>
      </c>
      <c r="T22" t="n">
        <v>0</v>
      </c>
      <c r="U22" t="n">
        <v>0</v>
      </c>
      <c r="V22" t="n">
        <v>3</v>
      </c>
      <c r="W22" t="n">
        <v>7</v>
      </c>
      <c r="AB22" t="b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2026</v>
      </c>
      <c r="B23" t="inlineStr">
        <is>
          <t>Liga Argentina</t>
        </is>
      </c>
      <c r="C23" t="inlineStr">
        <is>
          <t>Ángel Correa</t>
        </is>
      </c>
      <c r="E23" t="n">
        <v>31</v>
      </c>
      <c r="F23" t="n">
        <v>3</v>
      </c>
      <c r="G23" t="n">
        <v>2</v>
      </c>
      <c r="H23" t="n">
        <v>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</v>
      </c>
      <c r="Q23" t="n">
        <v>2</v>
      </c>
      <c r="R23" t="n">
        <v>1</v>
      </c>
      <c r="S23" t="n">
        <v>3</v>
      </c>
      <c r="T23" t="n">
        <v>0</v>
      </c>
      <c r="U23" t="n">
        <v>18</v>
      </c>
      <c r="V23" t="n">
        <v>2</v>
      </c>
      <c r="W23" t="n">
        <v>0</v>
      </c>
      <c r="AB23" t="b">
        <v>0</v>
      </c>
      <c r="AC23" t="n">
        <v>0</v>
      </c>
      <c r="AD23" t="n">
        <v>0</v>
      </c>
      <c r="AE23" t="n">
        <v>33.33</v>
      </c>
      <c r="AF23" t="n">
        <v>0</v>
      </c>
    </row>
    <row r="24">
      <c r="A24" t="n">
        <v>2026</v>
      </c>
      <c r="B24" t="inlineStr">
        <is>
          <t>Liga Argentina</t>
        </is>
      </c>
      <c r="C24" t="inlineStr">
        <is>
          <t>Fabricio Bustos</t>
        </is>
      </c>
      <c r="E24" t="n">
        <v>30</v>
      </c>
      <c r="F24" t="n">
        <v>3</v>
      </c>
      <c r="G24" t="n">
        <v>2</v>
      </c>
      <c r="H24" t="n">
        <v>180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  <c r="Q24" t="n">
        <v>3</v>
      </c>
      <c r="R24" t="n">
        <v>6</v>
      </c>
      <c r="S24" t="n">
        <v>1</v>
      </c>
      <c r="T24" t="n">
        <v>0</v>
      </c>
      <c r="U24" t="n">
        <v>11</v>
      </c>
      <c r="V24" t="n">
        <v>8</v>
      </c>
      <c r="W24" t="n">
        <v>11</v>
      </c>
      <c r="AB24" t="b">
        <v>0</v>
      </c>
      <c r="AC24" t="n">
        <v>0</v>
      </c>
      <c r="AD24" t="n">
        <v>0</v>
      </c>
      <c r="AE24" t="n">
        <v>42.86</v>
      </c>
      <c r="AF24" t="n">
        <v>0</v>
      </c>
    </row>
    <row r="25">
      <c r="A25" t="n">
        <v>2026</v>
      </c>
      <c r="B25" t="inlineStr">
        <is>
          <t>Liga Argentina</t>
        </is>
      </c>
      <c r="C25" t="inlineStr">
        <is>
          <t>Lucas Gabriel Silva</t>
        </is>
      </c>
      <c r="E25" t="n">
        <v>19</v>
      </c>
      <c r="F25" t="n">
        <v>2</v>
      </c>
      <c r="G25" t="n">
        <v>2</v>
      </c>
      <c r="H25" t="n">
        <v>170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3</v>
      </c>
      <c r="Q25" t="n">
        <v>2</v>
      </c>
      <c r="R25" t="n">
        <v>5</v>
      </c>
      <c r="S25" t="n">
        <v>4</v>
      </c>
      <c r="T25" t="n">
        <v>0</v>
      </c>
      <c r="U25" t="n">
        <v>3</v>
      </c>
      <c r="V25" t="n">
        <v>4</v>
      </c>
      <c r="W25" t="n">
        <v>4</v>
      </c>
      <c r="AB25" t="b">
        <v>0</v>
      </c>
      <c r="AC25" t="n">
        <v>0</v>
      </c>
      <c r="AD25" t="n">
        <v>0</v>
      </c>
      <c r="AE25" t="n">
        <v>66.67</v>
      </c>
      <c r="AF25" t="n">
        <v>0</v>
      </c>
    </row>
    <row r="26">
      <c r="A26" t="n">
        <v>2026</v>
      </c>
      <c r="B26" t="inlineStr">
        <is>
          <t>Liga Argentina</t>
        </is>
      </c>
      <c r="C26" t="inlineStr">
        <is>
          <t>Lautaro Pereyra</t>
        </is>
      </c>
      <c r="E26" t="n">
        <v>18</v>
      </c>
      <c r="F26" t="n">
        <v>7</v>
      </c>
      <c r="G26" t="n">
        <v>2</v>
      </c>
      <c r="H26" t="n">
        <v>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  <c r="Q26" t="n">
        <v>1</v>
      </c>
      <c r="R26" t="n">
        <v>5</v>
      </c>
      <c r="S26" t="n">
        <v>1</v>
      </c>
      <c r="T26" t="n">
        <v>0</v>
      </c>
      <c r="U26" t="n">
        <v>5</v>
      </c>
      <c r="V26" t="n">
        <v>4</v>
      </c>
      <c r="W26" t="n">
        <v>1</v>
      </c>
      <c r="AB26" t="b">
        <v>0</v>
      </c>
      <c r="AC26" t="n">
        <v>0</v>
      </c>
      <c r="AD26" t="n">
        <v>0</v>
      </c>
      <c r="AE26" t="n">
        <v>10</v>
      </c>
      <c r="AF26" t="n">
        <v>0</v>
      </c>
    </row>
    <row r="27">
      <c r="A27" t="n">
        <v>2026</v>
      </c>
      <c r="B27" t="inlineStr">
        <is>
          <t>Liga Argentina</t>
        </is>
      </c>
      <c r="C27" t="inlineStr">
        <is>
          <t>Agustín Ruberto</t>
        </is>
      </c>
      <c r="E27" t="n">
        <v>20</v>
      </c>
      <c r="F27" t="n">
        <v>4</v>
      </c>
      <c r="G27" t="n">
        <v>2</v>
      </c>
      <c r="H27" t="n">
        <v>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3</v>
      </c>
      <c r="Q27" t="n">
        <v>2</v>
      </c>
      <c r="R27" t="n">
        <v>2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AB27" t="b">
        <v>0</v>
      </c>
      <c r="AC27" t="n">
        <v>0</v>
      </c>
      <c r="AD27" t="n">
        <v>0</v>
      </c>
      <c r="AE27" t="n">
        <v>66.67</v>
      </c>
      <c r="AF27" t="n">
        <v>0</v>
      </c>
    </row>
    <row r="28">
      <c r="A28" t="n">
        <v>2026</v>
      </c>
      <c r="B28" t="inlineStr">
        <is>
          <t>Liga Argentina</t>
        </is>
      </c>
      <c r="C28" t="inlineStr">
        <is>
          <t>Juan Meza</t>
        </is>
      </c>
      <c r="E28" t="n">
        <v>18</v>
      </c>
      <c r="F28" t="n">
        <v>5</v>
      </c>
      <c r="G28" t="n">
        <v>1</v>
      </c>
      <c r="H28" t="n">
        <v>162</v>
      </c>
      <c r="I28" t="n">
        <v>0</v>
      </c>
      <c r="J28" t="n">
        <v>2</v>
      </c>
      <c r="K28" t="n">
        <v>2</v>
      </c>
      <c r="L28" t="n">
        <v>0</v>
      </c>
      <c r="M28" t="n">
        <v>0</v>
      </c>
      <c r="N28" t="n">
        <v>2</v>
      </c>
      <c r="O28" t="n">
        <v>0</v>
      </c>
      <c r="P28" t="n">
        <v>12</v>
      </c>
      <c r="Q28" t="n">
        <v>1</v>
      </c>
      <c r="R28" t="n">
        <v>13</v>
      </c>
      <c r="S28" t="n">
        <v>9</v>
      </c>
      <c r="T28" t="n">
        <v>0</v>
      </c>
      <c r="U28" t="n">
        <v>25</v>
      </c>
      <c r="V28" t="n">
        <v>6</v>
      </c>
      <c r="W28" t="n">
        <v>5</v>
      </c>
      <c r="AB28" t="b">
        <v>0</v>
      </c>
      <c r="AC28" t="n">
        <v>0</v>
      </c>
      <c r="AD28" t="n">
        <v>1.11</v>
      </c>
      <c r="AE28" t="n">
        <v>8.33</v>
      </c>
      <c r="AF28" t="n">
        <v>0</v>
      </c>
    </row>
    <row r="29">
      <c r="A29" t="n">
        <v>2026</v>
      </c>
      <c r="B29" t="inlineStr">
        <is>
          <t>Liga Argentina</t>
        </is>
      </c>
      <c r="C29" t="inlineStr">
        <is>
          <t>Facundo González</t>
        </is>
      </c>
      <c r="E29" t="n">
        <v>20</v>
      </c>
      <c r="F29" t="n">
        <v>3</v>
      </c>
      <c r="G29" t="n">
        <v>1</v>
      </c>
      <c r="H29" t="n">
        <v>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0</v>
      </c>
      <c r="R29" t="n">
        <v>9</v>
      </c>
      <c r="S29" t="n">
        <v>4</v>
      </c>
      <c r="T29" t="n">
        <v>0</v>
      </c>
      <c r="U29" t="n">
        <v>13</v>
      </c>
      <c r="V29" t="n">
        <v>4</v>
      </c>
      <c r="W29" t="n">
        <v>11</v>
      </c>
      <c r="AB29" t="b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2026</v>
      </c>
      <c r="B30" t="inlineStr">
        <is>
          <t>Liga Argentina</t>
        </is>
      </c>
      <c r="C30" t="inlineStr">
        <is>
          <t>Germán Pezzella</t>
        </is>
      </c>
      <c r="E30" t="n">
        <v>35</v>
      </c>
      <c r="F30" t="n">
        <v>2</v>
      </c>
      <c r="G30" t="n">
        <v>1</v>
      </c>
      <c r="H30" t="n">
        <v>135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5</v>
      </c>
      <c r="S30" t="n">
        <v>5</v>
      </c>
      <c r="T30" t="n">
        <v>0</v>
      </c>
      <c r="U30" t="n">
        <v>1</v>
      </c>
      <c r="V30" t="n">
        <v>11</v>
      </c>
      <c r="W30" t="n">
        <v>4</v>
      </c>
      <c r="AB30" t="b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2026</v>
      </c>
      <c r="B31" t="inlineStr">
        <is>
          <t>Liga Argentina</t>
        </is>
      </c>
      <c r="C31" t="inlineStr">
        <is>
          <t>Kevin Castaño</t>
        </is>
      </c>
      <c r="E31" t="n">
        <v>25</v>
      </c>
      <c r="F31" t="n">
        <v>5</v>
      </c>
      <c r="G31" t="n">
        <v>1</v>
      </c>
      <c r="H31" t="n">
        <v>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8</v>
      </c>
      <c r="S31" t="n">
        <v>6</v>
      </c>
      <c r="T31" t="n">
        <v>0</v>
      </c>
      <c r="U31" t="n">
        <v>1</v>
      </c>
      <c r="V31" t="n">
        <v>8</v>
      </c>
      <c r="W31" t="n">
        <v>4</v>
      </c>
      <c r="AB31" t="b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2026</v>
      </c>
      <c r="B32" t="inlineStr">
        <is>
          <t>Liga Argentina</t>
        </is>
      </c>
      <c r="C32" t="inlineStr">
        <is>
          <t>Tobías Andrada</t>
        </is>
      </c>
      <c r="E32" t="n">
        <v>19</v>
      </c>
      <c r="F32" t="n">
        <v>1</v>
      </c>
      <c r="G32" t="n">
        <v>1</v>
      </c>
      <c r="H32" t="n">
        <v>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3</v>
      </c>
      <c r="S32" t="n">
        <v>2</v>
      </c>
      <c r="T32" t="n">
        <v>0</v>
      </c>
      <c r="U32" t="n">
        <v>2</v>
      </c>
      <c r="V32" t="n">
        <v>1</v>
      </c>
      <c r="W32" t="n">
        <v>2</v>
      </c>
      <c r="AB32" t="b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2026</v>
      </c>
      <c r="B33" t="inlineStr">
        <is>
          <t>Liga Argentina</t>
        </is>
      </c>
      <c r="C33" t="inlineStr">
        <is>
          <t>Francisco Ortega</t>
        </is>
      </c>
      <c r="E33" t="n">
        <v>27</v>
      </c>
      <c r="F33" t="n">
        <v>1</v>
      </c>
      <c r="G33" t="n">
        <v>1</v>
      </c>
      <c r="H33" t="n">
        <v>90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3</v>
      </c>
      <c r="V33" t="n">
        <v>0</v>
      </c>
      <c r="W33" t="n">
        <v>0</v>
      </c>
      <c r="AB33" t="b">
        <v>0</v>
      </c>
      <c r="AC33" t="n">
        <v>0</v>
      </c>
      <c r="AD33" t="n">
        <v>0</v>
      </c>
      <c r="AE33" t="n">
        <v>100</v>
      </c>
      <c r="AF33" t="n">
        <v>0</v>
      </c>
    </row>
    <row r="34">
      <c r="A34" t="n">
        <v>2026</v>
      </c>
      <c r="B34" t="inlineStr">
        <is>
          <t>Liga Argentina</t>
        </is>
      </c>
      <c r="C34" t="inlineStr">
        <is>
          <t>Mauro Arambarri</t>
        </is>
      </c>
      <c r="E34" t="n">
        <v>30</v>
      </c>
      <c r="F34" t="n">
        <v>2</v>
      </c>
      <c r="G34" t="n">
        <v>1</v>
      </c>
      <c r="H34" t="n">
        <v>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4</v>
      </c>
      <c r="S34" t="n">
        <v>3</v>
      </c>
      <c r="T34" t="n">
        <v>0</v>
      </c>
      <c r="U34" t="n">
        <v>1</v>
      </c>
      <c r="V34" t="n">
        <v>2</v>
      </c>
      <c r="W34" t="n">
        <v>0</v>
      </c>
      <c r="AB34" t="b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2026</v>
      </c>
      <c r="B35" t="inlineStr">
        <is>
          <t>Liga Argentina</t>
        </is>
      </c>
      <c r="C35" t="inlineStr">
        <is>
          <t>Franco Armani</t>
        </is>
      </c>
      <c r="E35" t="n">
        <v>39</v>
      </c>
      <c r="F35" t="n">
        <v>1</v>
      </c>
      <c r="G35" t="n">
        <v>1</v>
      </c>
      <c r="H35" t="n">
        <v>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</v>
      </c>
      <c r="Y35" t="n">
        <v>2</v>
      </c>
      <c r="Z35" t="n">
        <v>5</v>
      </c>
      <c r="AA35" t="n">
        <v>0</v>
      </c>
      <c r="AB35" t="b">
        <v>0</v>
      </c>
      <c r="AC35" t="n">
        <v>0</v>
      </c>
      <c r="AD35" t="n">
        <v>0</v>
      </c>
      <c r="AG35" t="n">
        <v>71.43000000000001</v>
      </c>
    </row>
    <row r="36">
      <c r="A36" t="n">
        <v>2026</v>
      </c>
      <c r="B36" t="inlineStr">
        <is>
          <t>Liga Argentina</t>
        </is>
      </c>
      <c r="C36" t="inlineStr">
        <is>
          <t>Maximiliano Meza</t>
        </is>
      </c>
      <c r="E36" t="n">
        <v>33</v>
      </c>
      <c r="F36" t="n">
        <v>1</v>
      </c>
      <c r="G36" t="n">
        <v>1</v>
      </c>
      <c r="H36" t="n">
        <v>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</v>
      </c>
      <c r="Q36" t="n">
        <v>1</v>
      </c>
      <c r="R36" t="n">
        <v>4</v>
      </c>
      <c r="S36" t="n">
        <v>1</v>
      </c>
      <c r="T36" t="n">
        <v>1</v>
      </c>
      <c r="U36" t="n">
        <v>1</v>
      </c>
      <c r="V36" t="n">
        <v>5</v>
      </c>
      <c r="W36" t="n">
        <v>0</v>
      </c>
      <c r="AB36" t="b">
        <v>0</v>
      </c>
      <c r="AC36" t="n">
        <v>0</v>
      </c>
      <c r="AD36" t="n">
        <v>0</v>
      </c>
      <c r="AE36" t="n">
        <v>25</v>
      </c>
      <c r="AF36" t="n">
        <v>0</v>
      </c>
    </row>
    <row r="37">
      <c r="A37" t="n">
        <v>2026</v>
      </c>
      <c r="B37" t="inlineStr">
        <is>
          <t>Liga Argentina</t>
        </is>
      </c>
      <c r="C37" t="inlineStr">
        <is>
          <t>Tobías Ramírez</t>
        </is>
      </c>
      <c r="E37" t="n">
        <v>19</v>
      </c>
      <c r="F37" t="n">
        <v>1</v>
      </c>
      <c r="G37" t="n">
        <v>1</v>
      </c>
      <c r="H37" t="n">
        <v>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2</v>
      </c>
      <c r="W37" t="n">
        <v>0</v>
      </c>
      <c r="AB37" t="b">
        <v>0</v>
      </c>
      <c r="AC37" t="n">
        <v>0</v>
      </c>
      <c r="AD37" t="n">
        <v>0</v>
      </c>
    </row>
    <row r="38">
      <c r="A38" t="n">
        <v>2026</v>
      </c>
      <c r="B38" t="inlineStr">
        <is>
          <t>Liga Argentina</t>
        </is>
      </c>
      <c r="C38" t="inlineStr">
        <is>
          <t>Santiago Lencina</t>
        </is>
      </c>
      <c r="E38" t="n">
        <v>20</v>
      </c>
      <c r="F38" t="n">
        <v>4</v>
      </c>
      <c r="G38" t="n">
        <v>0</v>
      </c>
      <c r="H38" t="n">
        <v>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1</v>
      </c>
      <c r="R38" t="n">
        <v>2</v>
      </c>
      <c r="S38" t="n">
        <v>0</v>
      </c>
      <c r="T38" t="n">
        <v>0</v>
      </c>
      <c r="U38" t="n">
        <v>5</v>
      </c>
      <c r="V38" t="n">
        <v>2</v>
      </c>
      <c r="W38" t="n">
        <v>2</v>
      </c>
      <c r="AB38" t="b">
        <v>0</v>
      </c>
      <c r="AC38" t="n">
        <v>0</v>
      </c>
      <c r="AD38" t="n">
        <v>0</v>
      </c>
      <c r="AE38" t="n">
        <v>25</v>
      </c>
      <c r="AF38" t="n">
        <v>0</v>
      </c>
    </row>
    <row r="39">
      <c r="A39" t="n">
        <v>2026</v>
      </c>
      <c r="B39" t="inlineStr">
        <is>
          <t>Liga Argentina</t>
        </is>
      </c>
      <c r="C39" t="inlineStr">
        <is>
          <t>Cristian Jaime</t>
        </is>
      </c>
      <c r="E39" t="n">
        <v>20</v>
      </c>
      <c r="F39" t="n">
        <v>1</v>
      </c>
      <c r="G39" t="n">
        <v>0</v>
      </c>
      <c r="H39" t="n">
        <v>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AB39" t="b">
        <v>0</v>
      </c>
      <c r="AC39" t="n">
        <v>0</v>
      </c>
      <c r="AD39" t="n">
        <v>0</v>
      </c>
    </row>
    <row r="40">
      <c r="A40" t="n">
        <v>2026</v>
      </c>
      <c r="B40" t="inlineStr">
        <is>
          <t>Liga Argentina</t>
        </is>
      </c>
      <c r="C40" t="inlineStr">
        <is>
          <t>Juan Portillo</t>
        </is>
      </c>
      <c r="E40" t="n">
        <v>26</v>
      </c>
      <c r="F40" t="n">
        <v>1</v>
      </c>
      <c r="G40" t="n">
        <v>0</v>
      </c>
      <c r="H40" t="n">
        <v>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AB40" t="b">
        <v>0</v>
      </c>
      <c r="AC40" t="n">
        <v>0</v>
      </c>
      <c r="AD40" t="n">
        <v>0</v>
      </c>
    </row>
    <row r="41">
      <c r="A41" t="n">
        <v>2026</v>
      </c>
      <c r="B41" t="inlineStr">
        <is>
          <t>Liga Argentina</t>
        </is>
      </c>
      <c r="C41" t="inlineStr">
        <is>
          <t>Valentín Lucero</t>
        </is>
      </c>
      <c r="E41" t="n">
        <v>20</v>
      </c>
      <c r="F41" t="n">
        <v>1</v>
      </c>
      <c r="G41" t="n">
        <v>0</v>
      </c>
      <c r="H41" t="n">
        <v>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AB41" t="b">
        <v>0</v>
      </c>
      <c r="AC41" t="n">
        <v>0</v>
      </c>
      <c r="AD41" t="n">
        <v>0</v>
      </c>
    </row>
    <row r="42">
      <c r="A42" t="n">
        <v>2026</v>
      </c>
      <c r="B42" t="inlineStr">
        <is>
          <t>Liga Argentina</t>
        </is>
      </c>
      <c r="C42" t="inlineStr">
        <is>
          <t>Ezequiel Centurión</t>
        </is>
      </c>
      <c r="E42" t="n">
        <v>29</v>
      </c>
      <c r="F42" t="n">
        <v>0</v>
      </c>
      <c r="G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AB42" t="b">
        <v>0</v>
      </c>
    </row>
    <row r="43">
      <c r="A43" t="n">
        <v>2026</v>
      </c>
      <c r="B43" t="inlineStr">
        <is>
          <t>Liga Argentina</t>
        </is>
      </c>
      <c r="C43" t="inlineStr">
        <is>
          <t>Matías Galarza</t>
        </is>
      </c>
      <c r="E43" t="n">
        <v>24</v>
      </c>
      <c r="F43" t="n">
        <v>0</v>
      </c>
      <c r="G43" t="n">
        <v>0</v>
      </c>
      <c r="AB43" t="b">
        <v>0</v>
      </c>
    </row>
    <row r="44">
      <c r="A44" t="n">
        <v>2026</v>
      </c>
      <c r="B44" t="inlineStr">
        <is>
          <t>Liga Argentina</t>
        </is>
      </c>
      <c r="C44" t="inlineStr">
        <is>
          <t>Ulises Giménez</t>
        </is>
      </c>
      <c r="E44" t="n">
        <v>20</v>
      </c>
      <c r="F44" t="n">
        <v>0</v>
      </c>
      <c r="G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3</v>
      </c>
      <c r="V44" t="n">
        <v>0</v>
      </c>
      <c r="W44" t="n">
        <v>2</v>
      </c>
      <c r="AB44" t="b">
        <v>0</v>
      </c>
    </row>
    <row r="45">
      <c r="A45" t="n">
        <v>2026</v>
      </c>
      <c r="B45" t="inlineStr">
        <is>
          <t>Liga Argentina</t>
        </is>
      </c>
      <c r="C45" t="inlineStr">
        <is>
          <t>Giovanni González</t>
        </is>
      </c>
      <c r="E45" t="n">
        <v>31</v>
      </c>
      <c r="F45" t="n">
        <v>0</v>
      </c>
      <c r="G45" t="n">
        <v>0</v>
      </c>
      <c r="AB45" t="b">
        <v>0</v>
      </c>
    </row>
    <row r="46">
      <c r="A46" t="n">
        <v>2026</v>
      </c>
      <c r="B46" t="inlineStr">
        <is>
          <t>Liga Argentina</t>
        </is>
      </c>
      <c r="C46" t="inlineStr">
        <is>
          <t>Franco Jaroszewicz</t>
        </is>
      </c>
      <c r="E46" t="n">
        <v>19</v>
      </c>
      <c r="F46" t="n">
        <v>0</v>
      </c>
      <c r="G46" t="n">
        <v>0</v>
      </c>
      <c r="AB46" t="b">
        <v>0</v>
      </c>
    </row>
    <row r="47">
      <c r="A47" t="n">
        <v>2026</v>
      </c>
      <c r="B47" t="inlineStr">
        <is>
          <t>Todas las competencias</t>
        </is>
      </c>
      <c r="C47" t="inlineStr">
        <is>
          <t>Sebastián Driussi</t>
        </is>
      </c>
      <c r="E47" t="n">
        <v>30</v>
      </c>
      <c r="F47" t="n">
        <v>14</v>
      </c>
      <c r="G47" t="n">
        <v>13</v>
      </c>
      <c r="H47" t="n">
        <v>946</v>
      </c>
      <c r="I47" t="n">
        <v>6</v>
      </c>
      <c r="J47" t="n">
        <v>0</v>
      </c>
      <c r="K47" t="n">
        <v>6</v>
      </c>
      <c r="L47" t="n">
        <v>0</v>
      </c>
      <c r="M47" t="n">
        <v>0</v>
      </c>
      <c r="N47" t="n">
        <v>0</v>
      </c>
      <c r="O47" t="n">
        <v>0</v>
      </c>
      <c r="P47" t="n">
        <v>31</v>
      </c>
      <c r="Q47" t="n">
        <v>13</v>
      </c>
      <c r="R47" t="n">
        <v>7</v>
      </c>
      <c r="S47" t="n">
        <v>17</v>
      </c>
      <c r="T47" t="n">
        <v>3</v>
      </c>
      <c r="U47" t="n">
        <v>3</v>
      </c>
      <c r="V47" t="n">
        <v>7</v>
      </c>
      <c r="W47" t="n">
        <v>3</v>
      </c>
      <c r="AB47" t="b">
        <v>1</v>
      </c>
      <c r="AC47" t="n">
        <v>0.57</v>
      </c>
      <c r="AD47" t="n">
        <v>0</v>
      </c>
      <c r="AE47" t="n">
        <v>41.94</v>
      </c>
      <c r="AF47" t="n">
        <v>19.35</v>
      </c>
    </row>
    <row r="48">
      <c r="A48" t="n">
        <v>2026</v>
      </c>
      <c r="B48" t="inlineStr">
        <is>
          <t>Todas las competencias</t>
        </is>
      </c>
      <c r="C48" t="inlineStr">
        <is>
          <t>Gonzalo Montiel</t>
        </is>
      </c>
      <c r="E48" t="n">
        <v>29</v>
      </c>
      <c r="F48" t="n">
        <v>20</v>
      </c>
      <c r="G48" t="n">
        <v>19</v>
      </c>
      <c r="H48" t="n">
        <v>1754</v>
      </c>
      <c r="I48" t="n">
        <v>4</v>
      </c>
      <c r="J48" t="n">
        <v>1</v>
      </c>
      <c r="K48" t="n">
        <v>5</v>
      </c>
      <c r="L48" t="n">
        <v>2</v>
      </c>
      <c r="M48" t="n">
        <v>2</v>
      </c>
      <c r="N48" t="n">
        <v>4</v>
      </c>
      <c r="O48" t="n">
        <v>0</v>
      </c>
      <c r="P48" t="n">
        <v>18</v>
      </c>
      <c r="Q48" t="n">
        <v>5</v>
      </c>
      <c r="R48" t="n">
        <v>9</v>
      </c>
      <c r="S48" t="n">
        <v>19</v>
      </c>
      <c r="T48" t="n">
        <v>5</v>
      </c>
      <c r="U48" t="n">
        <v>41</v>
      </c>
      <c r="V48" t="n">
        <v>17</v>
      </c>
      <c r="W48" t="n">
        <v>22</v>
      </c>
      <c r="AB48" t="b">
        <v>1</v>
      </c>
      <c r="AC48" t="n">
        <v>0.21</v>
      </c>
      <c r="AD48" t="n">
        <v>0.05</v>
      </c>
      <c r="AE48" t="n">
        <v>27.78</v>
      </c>
      <c r="AF48" t="n">
        <v>22.22</v>
      </c>
    </row>
    <row r="49">
      <c r="A49" t="n">
        <v>2026</v>
      </c>
      <c r="B49" t="inlineStr">
        <is>
          <t>Todas las competencias</t>
        </is>
      </c>
      <c r="C49" t="inlineStr">
        <is>
          <t>Facundo Colidio</t>
        </is>
      </c>
      <c r="E49" t="n">
        <v>26</v>
      </c>
      <c r="F49" t="n">
        <v>18</v>
      </c>
      <c r="G49" t="n">
        <v>14</v>
      </c>
      <c r="H49" t="n">
        <v>1188</v>
      </c>
      <c r="I49" t="n">
        <v>3</v>
      </c>
      <c r="J49" t="n">
        <v>1</v>
      </c>
      <c r="K49" t="n">
        <v>4</v>
      </c>
      <c r="L49" t="n">
        <v>0</v>
      </c>
      <c r="M49" t="n">
        <v>0</v>
      </c>
      <c r="N49" t="n">
        <v>1</v>
      </c>
      <c r="O49" t="n">
        <v>1</v>
      </c>
      <c r="P49" t="n">
        <v>25</v>
      </c>
      <c r="Q49" t="n">
        <v>10</v>
      </c>
      <c r="R49" t="n">
        <v>14</v>
      </c>
      <c r="S49" t="n">
        <v>30</v>
      </c>
      <c r="T49" t="n">
        <v>1</v>
      </c>
      <c r="U49" t="n">
        <v>20</v>
      </c>
      <c r="V49" t="n">
        <v>8</v>
      </c>
      <c r="W49" t="n">
        <v>2</v>
      </c>
      <c r="AB49" t="b">
        <v>1</v>
      </c>
      <c r="AC49" t="n">
        <v>0.23</v>
      </c>
      <c r="AD49" t="n">
        <v>0.08</v>
      </c>
      <c r="AE49" t="n">
        <v>40</v>
      </c>
      <c r="AF49" t="n">
        <v>12</v>
      </c>
    </row>
    <row r="50">
      <c r="A50" t="n">
        <v>2026</v>
      </c>
      <c r="B50" t="inlineStr">
        <is>
          <t>Todas las competencias</t>
        </is>
      </c>
      <c r="C50" t="inlineStr">
        <is>
          <t>Maximiliano Salas</t>
        </is>
      </c>
      <c r="E50" t="n">
        <v>28</v>
      </c>
      <c r="F50" t="n">
        <v>16</v>
      </c>
      <c r="G50" t="n">
        <v>5</v>
      </c>
      <c r="H50" t="n">
        <v>679</v>
      </c>
      <c r="I50" t="n">
        <v>3</v>
      </c>
      <c r="J50" t="n">
        <v>0</v>
      </c>
      <c r="K50" t="n">
        <v>3</v>
      </c>
      <c r="L50" t="n">
        <v>0</v>
      </c>
      <c r="M50" t="n">
        <v>1</v>
      </c>
      <c r="N50" t="n">
        <v>3</v>
      </c>
      <c r="O50" t="n">
        <v>0</v>
      </c>
      <c r="P50" t="n">
        <v>27</v>
      </c>
      <c r="Q50" t="n">
        <v>10</v>
      </c>
      <c r="R50" t="n">
        <v>11</v>
      </c>
      <c r="S50" t="n">
        <v>6</v>
      </c>
      <c r="T50" t="n">
        <v>6</v>
      </c>
      <c r="U50" t="n">
        <v>14</v>
      </c>
      <c r="V50" t="n">
        <v>7</v>
      </c>
      <c r="W50" t="n">
        <v>1</v>
      </c>
      <c r="AB50" t="b">
        <v>1</v>
      </c>
      <c r="AC50" t="n">
        <v>0.4</v>
      </c>
      <c r="AD50" t="n">
        <v>0</v>
      </c>
      <c r="AE50" t="n">
        <v>37.04</v>
      </c>
      <c r="AF50" t="n">
        <v>11.11</v>
      </c>
    </row>
    <row r="51">
      <c r="A51" t="n">
        <v>2026</v>
      </c>
      <c r="B51" t="inlineStr">
        <is>
          <t>Todas las competencias</t>
        </is>
      </c>
      <c r="C51" t="inlineStr">
        <is>
          <t>Lucas Martínez Quarta</t>
        </is>
      </c>
      <c r="E51" t="n">
        <v>30</v>
      </c>
      <c r="F51" t="n">
        <v>22</v>
      </c>
      <c r="G51" t="n">
        <v>22</v>
      </c>
      <c r="H51" t="n">
        <v>1884</v>
      </c>
      <c r="I51" t="n">
        <v>2</v>
      </c>
      <c r="J51" t="n">
        <v>2</v>
      </c>
      <c r="K51" t="n">
        <v>4</v>
      </c>
      <c r="L51" t="n">
        <v>0</v>
      </c>
      <c r="M51" t="n">
        <v>0</v>
      </c>
      <c r="N51" t="n">
        <v>7</v>
      </c>
      <c r="O51" t="n">
        <v>1</v>
      </c>
      <c r="P51" t="n">
        <v>25</v>
      </c>
      <c r="Q51" t="n">
        <v>8</v>
      </c>
      <c r="R51" t="n">
        <v>22</v>
      </c>
      <c r="S51" t="n">
        <v>17</v>
      </c>
      <c r="T51" t="n">
        <v>2</v>
      </c>
      <c r="U51" t="n">
        <v>2</v>
      </c>
      <c r="V51" t="n">
        <v>22</v>
      </c>
      <c r="W51" t="n">
        <v>32</v>
      </c>
      <c r="AB51" t="b">
        <v>1</v>
      </c>
      <c r="AC51" t="n">
        <v>0.1</v>
      </c>
      <c r="AD51" t="n">
        <v>0.1</v>
      </c>
      <c r="AE51" t="n">
        <v>32</v>
      </c>
      <c r="AF51" t="n">
        <v>8</v>
      </c>
    </row>
    <row r="52">
      <c r="A52" t="n">
        <v>2026</v>
      </c>
      <c r="B52" t="inlineStr">
        <is>
          <t>Todas las competencias</t>
        </is>
      </c>
      <c r="C52" t="inlineStr">
        <is>
          <t>Tomás Galván</t>
        </is>
      </c>
      <c r="E52" t="n">
        <v>26</v>
      </c>
      <c r="F52" t="n">
        <v>24</v>
      </c>
      <c r="G52" t="n">
        <v>22</v>
      </c>
      <c r="H52" t="n">
        <v>1701</v>
      </c>
      <c r="I52" t="n">
        <v>2</v>
      </c>
      <c r="J52" t="n">
        <v>1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28</v>
      </c>
      <c r="Q52" t="n">
        <v>9</v>
      </c>
      <c r="R52" t="n">
        <v>16</v>
      </c>
      <c r="S52" t="n">
        <v>50</v>
      </c>
      <c r="T52" t="n">
        <v>0</v>
      </c>
      <c r="U52" t="n">
        <v>39</v>
      </c>
      <c r="V52" t="n">
        <v>24</v>
      </c>
      <c r="W52" t="n">
        <v>12</v>
      </c>
      <c r="AB52" t="b">
        <v>1</v>
      </c>
      <c r="AC52" t="n">
        <v>0.11</v>
      </c>
      <c r="AD52" t="n">
        <v>0.05</v>
      </c>
      <c r="AE52" t="n">
        <v>32.14</v>
      </c>
      <c r="AF52" t="n">
        <v>7.14</v>
      </c>
    </row>
    <row r="53">
      <c r="A53" t="n">
        <v>2026</v>
      </c>
      <c r="B53" t="inlineStr">
        <is>
          <t>Todas las competencias</t>
        </is>
      </c>
      <c r="C53" t="inlineStr">
        <is>
          <t>Juan Quintero</t>
        </is>
      </c>
      <c r="E53" t="n">
        <v>33</v>
      </c>
      <c r="F53" t="n">
        <v>15</v>
      </c>
      <c r="G53" t="n">
        <v>9</v>
      </c>
      <c r="H53" t="n">
        <v>767</v>
      </c>
      <c r="I53" t="n">
        <v>2</v>
      </c>
      <c r="J53" t="n">
        <v>3</v>
      </c>
      <c r="K53" t="n">
        <v>5</v>
      </c>
      <c r="L53" t="n">
        <v>0</v>
      </c>
      <c r="M53" t="n">
        <v>2</v>
      </c>
      <c r="N53" t="n">
        <v>0</v>
      </c>
      <c r="O53" t="n">
        <v>0</v>
      </c>
      <c r="P53" t="n">
        <v>37</v>
      </c>
      <c r="Q53" t="n">
        <v>19</v>
      </c>
      <c r="R53" t="n">
        <v>1</v>
      </c>
      <c r="S53" t="n">
        <v>8</v>
      </c>
      <c r="T53" t="n">
        <v>1</v>
      </c>
      <c r="U53" t="n">
        <v>47</v>
      </c>
      <c r="V53" t="n">
        <v>2</v>
      </c>
      <c r="W53" t="n">
        <v>1</v>
      </c>
      <c r="AB53" t="b">
        <v>1</v>
      </c>
      <c r="AC53" t="n">
        <v>0.23</v>
      </c>
      <c r="AD53" t="n">
        <v>0.35</v>
      </c>
      <c r="AE53" t="n">
        <v>51.35</v>
      </c>
      <c r="AF53" t="n">
        <v>5.41</v>
      </c>
    </row>
    <row r="54">
      <c r="A54" t="n">
        <v>2026</v>
      </c>
      <c r="B54" t="inlineStr">
        <is>
          <t>Todas las competencias</t>
        </is>
      </c>
      <c r="C54" t="inlineStr">
        <is>
          <t>Lautaro Rivero</t>
        </is>
      </c>
      <c r="E54" t="n">
        <v>22</v>
      </c>
      <c r="F54" t="n">
        <v>19</v>
      </c>
      <c r="G54" t="n">
        <v>19</v>
      </c>
      <c r="H54" t="n">
        <v>1679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8</v>
      </c>
      <c r="O54" t="n">
        <v>0</v>
      </c>
      <c r="P54" t="n">
        <v>12</v>
      </c>
      <c r="Q54" t="n">
        <v>3</v>
      </c>
      <c r="R54" t="n">
        <v>16</v>
      </c>
      <c r="S54" t="n">
        <v>22</v>
      </c>
      <c r="T54" t="n">
        <v>0</v>
      </c>
      <c r="U54" t="n">
        <v>5</v>
      </c>
      <c r="V54" t="n">
        <v>22</v>
      </c>
      <c r="W54" t="n">
        <v>24</v>
      </c>
      <c r="AB54" t="b">
        <v>1</v>
      </c>
      <c r="AC54" t="n">
        <v>0.05</v>
      </c>
      <c r="AD54" t="n">
        <v>0</v>
      </c>
      <c r="AE54" t="n">
        <v>25</v>
      </c>
      <c r="AF54" t="n">
        <v>8.33</v>
      </c>
    </row>
    <row r="55">
      <c r="A55" t="n">
        <v>2026</v>
      </c>
      <c r="B55" t="inlineStr">
        <is>
          <t>Todas las competencias</t>
        </is>
      </c>
      <c r="C55" t="inlineStr">
        <is>
          <t>Fausto Vera</t>
        </is>
      </c>
      <c r="E55" t="n">
        <v>26</v>
      </c>
      <c r="F55" t="n">
        <v>18</v>
      </c>
      <c r="G55" t="n">
        <v>17</v>
      </c>
      <c r="H55" t="n">
        <v>1335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3</v>
      </c>
      <c r="O55" t="n">
        <v>1</v>
      </c>
      <c r="P55" t="n">
        <v>32</v>
      </c>
      <c r="Q55" t="n">
        <v>8</v>
      </c>
      <c r="R55" t="n">
        <v>23</v>
      </c>
      <c r="S55" t="n">
        <v>10</v>
      </c>
      <c r="T55" t="n">
        <v>0</v>
      </c>
      <c r="U55" t="n">
        <v>10</v>
      </c>
      <c r="V55" t="n">
        <v>26</v>
      </c>
      <c r="W55" t="n">
        <v>8</v>
      </c>
      <c r="AB55" t="b">
        <v>1</v>
      </c>
      <c r="AC55" t="n">
        <v>0.07000000000000001</v>
      </c>
      <c r="AD55" t="n">
        <v>0</v>
      </c>
      <c r="AE55" t="n">
        <v>25</v>
      </c>
      <c r="AF55" t="n">
        <v>3.12</v>
      </c>
    </row>
    <row r="56">
      <c r="A56" t="n">
        <v>2026</v>
      </c>
      <c r="B56" t="inlineStr">
        <is>
          <t>Todas las competencias</t>
        </is>
      </c>
      <c r="C56" t="inlineStr">
        <is>
          <t>Joaquín Freitas</t>
        </is>
      </c>
      <c r="E56" t="n">
        <v>19</v>
      </c>
      <c r="F56" t="n">
        <v>19</v>
      </c>
      <c r="G56" t="n">
        <v>9</v>
      </c>
      <c r="H56" t="n">
        <v>1030</v>
      </c>
      <c r="I56" t="n">
        <v>1</v>
      </c>
      <c r="J56" t="n">
        <v>1</v>
      </c>
      <c r="K56" t="n">
        <v>2</v>
      </c>
      <c r="L56" t="n">
        <v>0</v>
      </c>
      <c r="M56" t="n">
        <v>0</v>
      </c>
      <c r="N56" t="n">
        <v>2</v>
      </c>
      <c r="O56" t="n">
        <v>0</v>
      </c>
      <c r="P56" t="n">
        <v>17</v>
      </c>
      <c r="Q56" t="n">
        <v>6</v>
      </c>
      <c r="R56" t="n">
        <v>25</v>
      </c>
      <c r="S56" t="n">
        <v>18</v>
      </c>
      <c r="T56" t="n">
        <v>10</v>
      </c>
      <c r="U56" t="n">
        <v>24</v>
      </c>
      <c r="V56" t="n">
        <v>14</v>
      </c>
      <c r="W56" t="n">
        <v>6</v>
      </c>
      <c r="AB56" t="b">
        <v>1</v>
      </c>
      <c r="AC56" t="n">
        <v>0.09</v>
      </c>
      <c r="AD56" t="n">
        <v>0.09</v>
      </c>
      <c r="AE56" t="n">
        <v>35.29</v>
      </c>
      <c r="AF56" t="n">
        <v>5.88</v>
      </c>
    </row>
    <row r="57">
      <c r="A57" t="n">
        <v>2026</v>
      </c>
      <c r="B57" t="inlineStr">
        <is>
          <t>Todas las competencias</t>
        </is>
      </c>
      <c r="C57" t="inlineStr">
        <is>
          <t>Ian Subiabre</t>
        </is>
      </c>
      <c r="E57" t="n">
        <v>19</v>
      </c>
      <c r="F57" t="n">
        <v>20</v>
      </c>
      <c r="G57" t="n">
        <v>13</v>
      </c>
      <c r="H57" t="n">
        <v>897</v>
      </c>
      <c r="I57" t="n">
        <v>1</v>
      </c>
      <c r="J57" t="n">
        <v>2</v>
      </c>
      <c r="K57" t="n">
        <v>3</v>
      </c>
      <c r="L57" t="n">
        <v>0</v>
      </c>
      <c r="M57" t="n">
        <v>0</v>
      </c>
      <c r="N57" t="n">
        <v>3</v>
      </c>
      <c r="O57" t="n">
        <v>0</v>
      </c>
      <c r="P57" t="n">
        <v>19</v>
      </c>
      <c r="Q57" t="n">
        <v>6</v>
      </c>
      <c r="R57" t="n">
        <v>20</v>
      </c>
      <c r="S57" t="n">
        <v>16</v>
      </c>
      <c r="T57" t="n">
        <v>0</v>
      </c>
      <c r="U57" t="n">
        <v>46</v>
      </c>
      <c r="V57" t="n">
        <v>6</v>
      </c>
      <c r="W57" t="n">
        <v>8</v>
      </c>
      <c r="AB57" t="b">
        <v>1</v>
      </c>
      <c r="AC57" t="n">
        <v>0.1</v>
      </c>
      <c r="AD57" t="n">
        <v>0.2</v>
      </c>
      <c r="AE57" t="n">
        <v>31.58</v>
      </c>
      <c r="AF57" t="n">
        <v>5.26</v>
      </c>
    </row>
    <row r="58">
      <c r="A58" t="n">
        <v>2026</v>
      </c>
      <c r="B58" t="inlineStr">
        <is>
          <t>Todas las competencias</t>
        </is>
      </c>
      <c r="C58" t="inlineStr">
        <is>
          <t>Giuliano Galoppo</t>
        </is>
      </c>
      <c r="E58" t="n">
        <v>27</v>
      </c>
      <c r="F58" t="n">
        <v>12</v>
      </c>
      <c r="G58" t="n">
        <v>4</v>
      </c>
      <c r="H58" t="n">
        <v>542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15</v>
      </c>
      <c r="Q58" t="n">
        <v>4</v>
      </c>
      <c r="R58" t="n">
        <v>8</v>
      </c>
      <c r="S58" t="n">
        <v>13</v>
      </c>
      <c r="T58" t="n">
        <v>0</v>
      </c>
      <c r="U58" t="n">
        <v>5</v>
      </c>
      <c r="V58" t="n">
        <v>2</v>
      </c>
      <c r="W58" t="n">
        <v>5</v>
      </c>
      <c r="AB58" t="b">
        <v>1</v>
      </c>
      <c r="AC58" t="n">
        <v>0.17</v>
      </c>
      <c r="AD58" t="n">
        <v>0</v>
      </c>
      <c r="AE58" t="n">
        <v>26.67</v>
      </c>
      <c r="AF58" t="n">
        <v>6.67</v>
      </c>
    </row>
    <row r="59">
      <c r="A59" t="n">
        <v>2026</v>
      </c>
      <c r="B59" t="inlineStr">
        <is>
          <t>Todas las competencias</t>
        </is>
      </c>
      <c r="C59" t="inlineStr">
        <is>
          <t>Kendry Páez</t>
        </is>
      </c>
      <c r="E59" t="n">
        <v>19</v>
      </c>
      <c r="F59" t="n">
        <v>12</v>
      </c>
      <c r="G59" t="n">
        <v>3</v>
      </c>
      <c r="H59" t="n">
        <v>422</v>
      </c>
      <c r="I59" t="n">
        <v>1</v>
      </c>
      <c r="J59" t="n">
        <v>1</v>
      </c>
      <c r="K59" t="n">
        <v>2</v>
      </c>
      <c r="L59" t="n">
        <v>0</v>
      </c>
      <c r="M59" t="n">
        <v>0</v>
      </c>
      <c r="N59" t="n">
        <v>1</v>
      </c>
      <c r="O59" t="n">
        <v>0</v>
      </c>
      <c r="P59" t="n">
        <v>10</v>
      </c>
      <c r="Q59" t="n">
        <v>4</v>
      </c>
      <c r="R59" t="n">
        <v>3</v>
      </c>
      <c r="S59" t="n">
        <v>3</v>
      </c>
      <c r="T59" t="n">
        <v>0</v>
      </c>
      <c r="U59" t="n">
        <v>17</v>
      </c>
      <c r="V59" t="n">
        <v>3</v>
      </c>
      <c r="W59" t="n">
        <v>5</v>
      </c>
      <c r="AB59" t="b">
        <v>1</v>
      </c>
      <c r="AC59" t="n">
        <v>0.21</v>
      </c>
      <c r="AD59" t="n">
        <v>0.21</v>
      </c>
      <c r="AE59" t="n">
        <v>40</v>
      </c>
      <c r="AF59" t="n">
        <v>10</v>
      </c>
    </row>
    <row r="60">
      <c r="A60" t="n">
        <v>2026</v>
      </c>
      <c r="B60" t="inlineStr">
        <is>
          <t>Todas las competencias</t>
        </is>
      </c>
      <c r="C60" t="inlineStr">
        <is>
          <t>Lucas Gabriel Silva</t>
        </is>
      </c>
      <c r="E60" t="n">
        <v>19</v>
      </c>
      <c r="F60" t="n">
        <v>6</v>
      </c>
      <c r="G60" t="n">
        <v>4</v>
      </c>
      <c r="H60" t="n">
        <v>357</v>
      </c>
      <c r="I60" t="n">
        <v>1</v>
      </c>
      <c r="J60" t="n">
        <v>1</v>
      </c>
      <c r="K60" t="n">
        <v>2</v>
      </c>
      <c r="L60" t="n">
        <v>0</v>
      </c>
      <c r="M60" t="n">
        <v>0</v>
      </c>
      <c r="N60" t="n">
        <v>2</v>
      </c>
      <c r="O60" t="n">
        <v>0</v>
      </c>
      <c r="P60" t="n">
        <v>3</v>
      </c>
      <c r="Q60" t="n">
        <v>2</v>
      </c>
      <c r="R60" t="n">
        <v>5</v>
      </c>
      <c r="S60" t="n">
        <v>4</v>
      </c>
      <c r="T60" t="n">
        <v>0</v>
      </c>
      <c r="U60" t="n">
        <v>3</v>
      </c>
      <c r="V60" t="n">
        <v>4</v>
      </c>
      <c r="W60" t="n">
        <v>4</v>
      </c>
      <c r="AB60" t="b">
        <v>1</v>
      </c>
      <c r="AC60" t="n">
        <v>0.25</v>
      </c>
      <c r="AD60" t="n">
        <v>0.25</v>
      </c>
      <c r="AE60" t="n">
        <v>66.67</v>
      </c>
      <c r="AF60" t="n">
        <v>33.33</v>
      </c>
    </row>
    <row r="61">
      <c r="A61" t="n">
        <v>2026</v>
      </c>
      <c r="B61" t="inlineStr">
        <is>
          <t>Todas las competencias</t>
        </is>
      </c>
      <c r="C61" t="inlineStr">
        <is>
          <t>Lautaro Pereyra</t>
        </is>
      </c>
      <c r="E61" t="n">
        <v>18</v>
      </c>
      <c r="F61" t="n">
        <v>10</v>
      </c>
      <c r="G61" t="n">
        <v>2</v>
      </c>
      <c r="H61" t="n">
        <v>241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10</v>
      </c>
      <c r="Q61" t="n">
        <v>1</v>
      </c>
      <c r="R61" t="n">
        <v>5</v>
      </c>
      <c r="S61" t="n">
        <v>1</v>
      </c>
      <c r="T61" t="n">
        <v>0</v>
      </c>
      <c r="U61" t="n">
        <v>5</v>
      </c>
      <c r="V61" t="n">
        <v>4</v>
      </c>
      <c r="W61" t="n">
        <v>1</v>
      </c>
      <c r="AB61" t="b">
        <v>1</v>
      </c>
      <c r="AC61" t="n">
        <v>0.37</v>
      </c>
      <c r="AD61" t="n">
        <v>0</v>
      </c>
      <c r="AE61" t="n">
        <v>10</v>
      </c>
      <c r="AF61" t="n">
        <v>10</v>
      </c>
    </row>
    <row r="62">
      <c r="A62" t="n">
        <v>2026</v>
      </c>
      <c r="B62" t="inlineStr">
        <is>
          <t>Todas las competencias</t>
        </is>
      </c>
      <c r="C62" t="inlineStr">
        <is>
          <t>Maximiliano Meza</t>
        </is>
      </c>
      <c r="E62" t="n">
        <v>33</v>
      </c>
      <c r="F62" t="n">
        <v>3</v>
      </c>
      <c r="G62" t="n">
        <v>3</v>
      </c>
      <c r="H62" t="n">
        <v>149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4</v>
      </c>
      <c r="Q62" t="n">
        <v>1</v>
      </c>
      <c r="R62" t="n">
        <v>4</v>
      </c>
      <c r="S62" t="n">
        <v>1</v>
      </c>
      <c r="T62" t="n">
        <v>1</v>
      </c>
      <c r="U62" t="n">
        <v>1</v>
      </c>
      <c r="V62" t="n">
        <v>5</v>
      </c>
      <c r="W62" t="n">
        <v>0</v>
      </c>
      <c r="AB62" t="b">
        <v>1</v>
      </c>
      <c r="AC62" t="n">
        <v>0.6</v>
      </c>
      <c r="AD62" t="n">
        <v>0</v>
      </c>
      <c r="AE62" t="n">
        <v>25</v>
      </c>
      <c r="AF62" t="n">
        <v>25</v>
      </c>
    </row>
    <row r="63">
      <c r="A63" t="n">
        <v>2026</v>
      </c>
      <c r="B63" t="inlineStr">
        <is>
          <t>Todas las competencias</t>
        </is>
      </c>
      <c r="C63" t="inlineStr">
        <is>
          <t>Santiago Beltrán</t>
        </is>
      </c>
      <c r="E63" t="n">
        <v>21</v>
      </c>
      <c r="F63" t="n">
        <v>25</v>
      </c>
      <c r="G63" t="n">
        <v>24</v>
      </c>
      <c r="H63" t="n">
        <v>2200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68</v>
      </c>
      <c r="Y63" t="n">
        <v>17</v>
      </c>
      <c r="Z63" t="n">
        <v>51</v>
      </c>
      <c r="AA63" t="n">
        <v>10</v>
      </c>
      <c r="AB63" t="b">
        <v>1</v>
      </c>
      <c r="AC63" t="n">
        <v>0</v>
      </c>
      <c r="AD63" t="n">
        <v>0</v>
      </c>
      <c r="AG63" t="n">
        <v>75</v>
      </c>
    </row>
    <row r="64">
      <c r="A64" t="n">
        <v>2026</v>
      </c>
      <c r="B64" t="inlineStr">
        <is>
          <t>Todas las competencias</t>
        </is>
      </c>
      <c r="C64" t="inlineStr">
        <is>
          <t>Aníbal Moreno</t>
        </is>
      </c>
      <c r="E64" t="n">
        <v>27</v>
      </c>
      <c r="F64" t="n">
        <v>21</v>
      </c>
      <c r="G64" t="n">
        <v>20</v>
      </c>
      <c r="H64" t="n">
        <v>1821</v>
      </c>
      <c r="I64" t="n">
        <v>0</v>
      </c>
      <c r="J64" t="n">
        <v>2</v>
      </c>
      <c r="K64" t="n">
        <v>2</v>
      </c>
      <c r="L64" t="n">
        <v>0</v>
      </c>
      <c r="M64" t="n">
        <v>0</v>
      </c>
      <c r="N64" t="n">
        <v>2</v>
      </c>
      <c r="O64" t="n">
        <v>0</v>
      </c>
      <c r="P64" t="n">
        <v>18</v>
      </c>
      <c r="Q64" t="n">
        <v>3</v>
      </c>
      <c r="R64" t="n">
        <v>27</v>
      </c>
      <c r="S64" t="n">
        <v>11</v>
      </c>
      <c r="T64" t="n">
        <v>0</v>
      </c>
      <c r="U64" t="n">
        <v>8</v>
      </c>
      <c r="V64" t="n">
        <v>42</v>
      </c>
      <c r="W64" t="n">
        <v>28</v>
      </c>
      <c r="AB64" t="b">
        <v>1</v>
      </c>
      <c r="AC64" t="n">
        <v>0</v>
      </c>
      <c r="AD64" t="n">
        <v>0.1</v>
      </c>
      <c r="AE64" t="n">
        <v>16.67</v>
      </c>
      <c r="AF64" t="n">
        <v>0</v>
      </c>
    </row>
    <row r="65">
      <c r="A65" t="n">
        <v>2026</v>
      </c>
      <c r="B65" t="inlineStr">
        <is>
          <t>Todas las competencias</t>
        </is>
      </c>
      <c r="C65" t="inlineStr">
        <is>
          <t>Marcos Acuña</t>
        </is>
      </c>
      <c r="E65" t="n">
        <v>34</v>
      </c>
      <c r="F65" t="n">
        <v>15</v>
      </c>
      <c r="G65" t="n">
        <v>12</v>
      </c>
      <c r="H65" t="n">
        <v>1092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7</v>
      </c>
      <c r="O65" t="n">
        <v>0</v>
      </c>
      <c r="P65" t="n">
        <v>13</v>
      </c>
      <c r="Q65" t="n">
        <v>3</v>
      </c>
      <c r="R65" t="n">
        <v>10</v>
      </c>
      <c r="S65" t="n">
        <v>11</v>
      </c>
      <c r="T65" t="n">
        <v>0</v>
      </c>
      <c r="U65" t="n">
        <v>67</v>
      </c>
      <c r="V65" t="n">
        <v>20</v>
      </c>
      <c r="W65" t="n">
        <v>12</v>
      </c>
      <c r="AB65" t="b">
        <v>1</v>
      </c>
      <c r="AC65" t="n">
        <v>0</v>
      </c>
      <c r="AD65" t="n">
        <v>0.08</v>
      </c>
      <c r="AE65" t="n">
        <v>23.08</v>
      </c>
      <c r="AF65" t="n">
        <v>0</v>
      </c>
    </row>
    <row r="66">
      <c r="A66" t="n">
        <v>2026</v>
      </c>
      <c r="B66" t="inlineStr">
        <is>
          <t>Todas las competencias</t>
        </is>
      </c>
      <c r="C66" t="inlineStr">
        <is>
          <t>Matías Viña</t>
        </is>
      </c>
      <c r="E66" t="n">
        <v>28</v>
      </c>
      <c r="F66" t="n">
        <v>11</v>
      </c>
      <c r="G66" t="n">
        <v>8</v>
      </c>
      <c r="H66" t="n">
        <v>657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</v>
      </c>
      <c r="O66" t="n">
        <v>1</v>
      </c>
      <c r="P66" t="n">
        <v>6</v>
      </c>
      <c r="Q66" t="n">
        <v>1</v>
      </c>
      <c r="R66" t="n">
        <v>11</v>
      </c>
      <c r="S66" t="n">
        <v>10</v>
      </c>
      <c r="T66" t="n">
        <v>0</v>
      </c>
      <c r="U66" t="n">
        <v>26</v>
      </c>
      <c r="V66" t="n">
        <v>9</v>
      </c>
      <c r="W66" t="n">
        <v>15</v>
      </c>
      <c r="AB66" t="b">
        <v>1</v>
      </c>
      <c r="AC66" t="n">
        <v>0</v>
      </c>
      <c r="AD66" t="n">
        <v>0</v>
      </c>
      <c r="AE66" t="n">
        <v>16.67</v>
      </c>
      <c r="AF66" t="n">
        <v>0</v>
      </c>
    </row>
    <row r="67">
      <c r="A67" t="n">
        <v>2026</v>
      </c>
      <c r="B67" t="inlineStr">
        <is>
          <t>Todas las competencias</t>
        </is>
      </c>
      <c r="C67" t="inlineStr">
        <is>
          <t>Fabricio Bustos</t>
        </is>
      </c>
      <c r="E67" t="n">
        <v>30</v>
      </c>
      <c r="F67" t="n">
        <v>7</v>
      </c>
      <c r="G67" t="n">
        <v>6</v>
      </c>
      <c r="H67" t="n">
        <v>490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7</v>
      </c>
      <c r="Q67" t="n">
        <v>3</v>
      </c>
      <c r="R67" t="n">
        <v>6</v>
      </c>
      <c r="S67" t="n">
        <v>1</v>
      </c>
      <c r="T67" t="n">
        <v>0</v>
      </c>
      <c r="U67" t="n">
        <v>11</v>
      </c>
      <c r="V67" t="n">
        <v>8</v>
      </c>
      <c r="W67" t="n">
        <v>11</v>
      </c>
      <c r="AB67" t="b">
        <v>1</v>
      </c>
      <c r="AC67" t="n">
        <v>0</v>
      </c>
      <c r="AD67" t="n">
        <v>0.18</v>
      </c>
      <c r="AE67" t="n">
        <v>42.86</v>
      </c>
      <c r="AF67" t="n">
        <v>0</v>
      </c>
    </row>
    <row r="68">
      <c r="A68" t="n">
        <v>2026</v>
      </c>
      <c r="B68" t="inlineStr">
        <is>
          <t>Todas las competencias</t>
        </is>
      </c>
      <c r="C68" t="inlineStr">
        <is>
          <t>Germán Pezzella</t>
        </is>
      </c>
      <c r="E68" t="n">
        <v>35</v>
      </c>
      <c r="F68" t="n">
        <v>6</v>
      </c>
      <c r="G68" t="n">
        <v>4</v>
      </c>
      <c r="H68" t="n">
        <v>480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2</v>
      </c>
      <c r="Q68" t="n">
        <v>0</v>
      </c>
      <c r="R68" t="n">
        <v>5</v>
      </c>
      <c r="S68" t="n">
        <v>5</v>
      </c>
      <c r="T68" t="n">
        <v>0</v>
      </c>
      <c r="U68" t="n">
        <v>1</v>
      </c>
      <c r="V68" t="n">
        <v>11</v>
      </c>
      <c r="W68" t="n">
        <v>4</v>
      </c>
      <c r="AB68" t="b">
        <v>1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2026</v>
      </c>
      <c r="B69" t="inlineStr">
        <is>
          <t>Todas las competencias</t>
        </is>
      </c>
      <c r="C69" t="inlineStr">
        <is>
          <t>Juan Meza</t>
        </is>
      </c>
      <c r="E69" t="n">
        <v>18</v>
      </c>
      <c r="F69" t="n">
        <v>10</v>
      </c>
      <c r="G69" t="n">
        <v>4</v>
      </c>
      <c r="H69" t="n">
        <v>421</v>
      </c>
      <c r="I69" t="n">
        <v>0</v>
      </c>
      <c r="J69" t="n">
        <v>2</v>
      </c>
      <c r="K69" t="n">
        <v>2</v>
      </c>
      <c r="L69" t="n">
        <v>0</v>
      </c>
      <c r="M69" t="n">
        <v>0</v>
      </c>
      <c r="N69" t="n">
        <v>4</v>
      </c>
      <c r="O69" t="n">
        <v>0</v>
      </c>
      <c r="P69" t="n">
        <v>12</v>
      </c>
      <c r="Q69" t="n">
        <v>1</v>
      </c>
      <c r="R69" t="n">
        <v>13</v>
      </c>
      <c r="S69" t="n">
        <v>9</v>
      </c>
      <c r="T69" t="n">
        <v>0</v>
      </c>
      <c r="U69" t="n">
        <v>25</v>
      </c>
      <c r="V69" t="n">
        <v>6</v>
      </c>
      <c r="W69" t="n">
        <v>5</v>
      </c>
      <c r="AB69" t="b">
        <v>1</v>
      </c>
      <c r="AC69" t="n">
        <v>0</v>
      </c>
      <c r="AD69" t="n">
        <v>0.43</v>
      </c>
      <c r="AE69" t="n">
        <v>8.33</v>
      </c>
      <c r="AF69" t="n">
        <v>0</v>
      </c>
    </row>
    <row r="70">
      <c r="A70" t="n">
        <v>2026</v>
      </c>
      <c r="B70" t="inlineStr">
        <is>
          <t>Todas las competencias</t>
        </is>
      </c>
      <c r="C70" t="inlineStr">
        <is>
          <t>Facundo González</t>
        </is>
      </c>
      <c r="E70" t="n">
        <v>20</v>
      </c>
      <c r="F70" t="n">
        <v>6</v>
      </c>
      <c r="G70" t="n">
        <v>4</v>
      </c>
      <c r="H70" t="n">
        <v>408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4</v>
      </c>
      <c r="Q70" t="n">
        <v>0</v>
      </c>
      <c r="R70" t="n">
        <v>9</v>
      </c>
      <c r="S70" t="n">
        <v>4</v>
      </c>
      <c r="T70" t="n">
        <v>0</v>
      </c>
      <c r="U70" t="n">
        <v>13</v>
      </c>
      <c r="V70" t="n">
        <v>4</v>
      </c>
      <c r="W70" t="n">
        <v>11</v>
      </c>
      <c r="AB70" t="b">
        <v>1</v>
      </c>
      <c r="AC70" t="n">
        <v>0</v>
      </c>
      <c r="AD70" t="n">
        <v>0.22</v>
      </c>
      <c r="AE70" t="n">
        <v>0</v>
      </c>
      <c r="AF70" t="n">
        <v>0</v>
      </c>
    </row>
    <row r="71">
      <c r="A71" t="n">
        <v>2026</v>
      </c>
      <c r="B71" t="inlineStr">
        <is>
          <t>Todas las competencias</t>
        </is>
      </c>
      <c r="C71" t="inlineStr">
        <is>
          <t>Nicolás Otamendi</t>
        </is>
      </c>
      <c r="E71" t="n">
        <v>38</v>
      </c>
      <c r="F71" t="n">
        <v>4</v>
      </c>
      <c r="G71" t="n">
        <v>4</v>
      </c>
      <c r="H71" t="n">
        <v>360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5</v>
      </c>
      <c r="Q71" t="n">
        <v>0</v>
      </c>
      <c r="R71" t="n">
        <v>6</v>
      </c>
      <c r="S71" t="n">
        <v>3</v>
      </c>
      <c r="T71" t="n">
        <v>0</v>
      </c>
      <c r="U71" t="n">
        <v>1</v>
      </c>
      <c r="V71" t="n">
        <v>4</v>
      </c>
      <c r="W71" t="n">
        <v>5</v>
      </c>
      <c r="AB71" t="b">
        <v>1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2026</v>
      </c>
      <c r="B72" t="inlineStr">
        <is>
          <t>Todas las competencias</t>
        </is>
      </c>
      <c r="C72" t="inlineStr">
        <is>
          <t>Paulo Díaz</t>
        </is>
      </c>
      <c r="E72" t="n">
        <v>31</v>
      </c>
      <c r="F72" t="n">
        <v>7</v>
      </c>
      <c r="G72" t="n">
        <v>3</v>
      </c>
      <c r="H72" t="n">
        <v>293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2</v>
      </c>
      <c r="S72" t="n">
        <v>1</v>
      </c>
      <c r="T72" t="n">
        <v>0</v>
      </c>
      <c r="U72" t="n">
        <v>0</v>
      </c>
      <c r="V72" t="n">
        <v>3</v>
      </c>
      <c r="W72" t="n">
        <v>7</v>
      </c>
      <c r="AB72" t="b">
        <v>1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2026</v>
      </c>
      <c r="B73" t="inlineStr">
        <is>
          <t>Todas las competencias</t>
        </is>
      </c>
      <c r="C73" t="inlineStr">
        <is>
          <t>Rafael Borré</t>
        </is>
      </c>
      <c r="E73" t="n">
        <v>30</v>
      </c>
      <c r="F73" t="n">
        <v>4</v>
      </c>
      <c r="G73" t="n">
        <v>2</v>
      </c>
      <c r="H73" t="n">
        <v>224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</v>
      </c>
      <c r="Q73" t="n">
        <v>1</v>
      </c>
      <c r="R73" t="n">
        <v>5</v>
      </c>
      <c r="S73" t="n">
        <v>4</v>
      </c>
      <c r="T73" t="n">
        <v>1</v>
      </c>
      <c r="U73" t="n">
        <v>1</v>
      </c>
      <c r="V73" t="n">
        <v>2</v>
      </c>
      <c r="W73" t="n">
        <v>0</v>
      </c>
      <c r="AB73" t="b">
        <v>1</v>
      </c>
      <c r="AC73" t="n">
        <v>0</v>
      </c>
      <c r="AD73" t="n">
        <v>0</v>
      </c>
      <c r="AE73" t="n">
        <v>25</v>
      </c>
      <c r="AF73" t="n">
        <v>0</v>
      </c>
    </row>
    <row r="74">
      <c r="A74" t="n">
        <v>2026</v>
      </c>
      <c r="B74" t="inlineStr">
        <is>
          <t>Todas las competencias</t>
        </is>
      </c>
      <c r="C74" t="inlineStr">
        <is>
          <t>Lucas Beltrán</t>
        </is>
      </c>
      <c r="E74" t="n">
        <v>25</v>
      </c>
      <c r="F74" t="n">
        <v>4</v>
      </c>
      <c r="G74" t="n">
        <v>2</v>
      </c>
      <c r="H74" t="n">
        <v>223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  <c r="Q74" t="n">
        <v>3</v>
      </c>
      <c r="R74" t="n">
        <v>3</v>
      </c>
      <c r="S74" t="n">
        <v>4</v>
      </c>
      <c r="T74" t="n">
        <v>0</v>
      </c>
      <c r="U74" t="n">
        <v>1</v>
      </c>
      <c r="V74" t="n">
        <v>1</v>
      </c>
      <c r="W74" t="n">
        <v>0</v>
      </c>
      <c r="AB74" t="b">
        <v>1</v>
      </c>
      <c r="AC74" t="n">
        <v>0</v>
      </c>
      <c r="AD74" t="n">
        <v>0</v>
      </c>
      <c r="AE74" t="n">
        <v>60</v>
      </c>
      <c r="AF74" t="n">
        <v>0</v>
      </c>
    </row>
    <row r="75">
      <c r="A75" t="n">
        <v>2026</v>
      </c>
      <c r="B75" t="inlineStr">
        <is>
          <t>Todas las competencias</t>
        </is>
      </c>
      <c r="C75" t="inlineStr">
        <is>
          <t>Kevin Castaño</t>
        </is>
      </c>
      <c r="E75" t="n">
        <v>25</v>
      </c>
      <c r="F75" t="n">
        <v>7</v>
      </c>
      <c r="G75" t="n">
        <v>3</v>
      </c>
      <c r="H75" t="n">
        <v>223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2</v>
      </c>
      <c r="Q75" t="n">
        <v>0</v>
      </c>
      <c r="R75" t="n">
        <v>8</v>
      </c>
      <c r="S75" t="n">
        <v>6</v>
      </c>
      <c r="T75" t="n">
        <v>0</v>
      </c>
      <c r="U75" t="n">
        <v>1</v>
      </c>
      <c r="V75" t="n">
        <v>8</v>
      </c>
      <c r="W75" t="n">
        <v>4</v>
      </c>
      <c r="AB75" t="b">
        <v>1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2026</v>
      </c>
      <c r="B76" t="inlineStr">
        <is>
          <t>Todas las competencias</t>
        </is>
      </c>
      <c r="C76" t="inlineStr">
        <is>
          <t>Ángel Correa</t>
        </is>
      </c>
      <c r="E76" t="n">
        <v>31</v>
      </c>
      <c r="F76" t="n">
        <v>3</v>
      </c>
      <c r="G76" t="n">
        <v>2</v>
      </c>
      <c r="H76" t="n">
        <v>184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</v>
      </c>
      <c r="Q76" t="n">
        <v>2</v>
      </c>
      <c r="R76" t="n">
        <v>1</v>
      </c>
      <c r="S76" t="n">
        <v>3</v>
      </c>
      <c r="T76" t="n">
        <v>0</v>
      </c>
      <c r="U76" t="n">
        <v>18</v>
      </c>
      <c r="V76" t="n">
        <v>2</v>
      </c>
      <c r="W76" t="n">
        <v>0</v>
      </c>
      <c r="AB76" t="b">
        <v>1</v>
      </c>
      <c r="AC76" t="n">
        <v>0</v>
      </c>
      <c r="AD76" t="n">
        <v>0</v>
      </c>
      <c r="AE76" t="n">
        <v>33.33</v>
      </c>
      <c r="AF76" t="n">
        <v>0</v>
      </c>
    </row>
    <row r="77">
      <c r="A77" t="n">
        <v>2026</v>
      </c>
      <c r="B77" t="inlineStr">
        <is>
          <t>Todas las competencias</t>
        </is>
      </c>
      <c r="C77" t="inlineStr">
        <is>
          <t>Santiago Lencina</t>
        </is>
      </c>
      <c r="E77" t="n">
        <v>20</v>
      </c>
      <c r="F77" t="n">
        <v>7</v>
      </c>
      <c r="G77" t="n">
        <v>1</v>
      </c>
      <c r="H77" t="n">
        <v>177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n">
        <v>1</v>
      </c>
      <c r="R77" t="n">
        <v>2</v>
      </c>
      <c r="S77" t="n">
        <v>0</v>
      </c>
      <c r="T77" t="n">
        <v>0</v>
      </c>
      <c r="U77" t="n">
        <v>5</v>
      </c>
      <c r="V77" t="n">
        <v>2</v>
      </c>
      <c r="W77" t="n">
        <v>2</v>
      </c>
      <c r="AB77" t="b">
        <v>1</v>
      </c>
      <c r="AC77" t="n">
        <v>0</v>
      </c>
      <c r="AD77" t="n">
        <v>0</v>
      </c>
      <c r="AE77" t="n">
        <v>25</v>
      </c>
      <c r="AF77" t="n">
        <v>0</v>
      </c>
    </row>
    <row r="78">
      <c r="A78" t="n">
        <v>2026</v>
      </c>
      <c r="B78" t="inlineStr">
        <is>
          <t>Todas las competencias</t>
        </is>
      </c>
      <c r="C78" t="inlineStr">
        <is>
          <t>Agustín Ruberto</t>
        </is>
      </c>
      <c r="E78" t="n">
        <v>20</v>
      </c>
      <c r="F78" t="n">
        <v>5</v>
      </c>
      <c r="G78" t="n">
        <v>2</v>
      </c>
      <c r="H78" t="n">
        <v>170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3</v>
      </c>
      <c r="Q78" t="n">
        <v>2</v>
      </c>
      <c r="R78" t="n">
        <v>2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AB78" t="b">
        <v>1</v>
      </c>
      <c r="AC78" t="n">
        <v>0</v>
      </c>
      <c r="AD78" t="n">
        <v>0</v>
      </c>
      <c r="AE78" t="n">
        <v>66.67</v>
      </c>
      <c r="AF78" t="n">
        <v>0</v>
      </c>
    </row>
    <row r="79">
      <c r="A79" t="n">
        <v>2026</v>
      </c>
      <c r="B79" t="inlineStr">
        <is>
          <t>Todas las competencias</t>
        </is>
      </c>
      <c r="C79" t="inlineStr">
        <is>
          <t>Franco Armani</t>
        </is>
      </c>
      <c r="E79" t="n">
        <v>39</v>
      </c>
      <c r="F79" t="n">
        <v>2</v>
      </c>
      <c r="G79" t="n">
        <v>2</v>
      </c>
      <c r="H79" t="n">
        <v>135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</v>
      </c>
      <c r="Y79" t="n">
        <v>2</v>
      </c>
      <c r="Z79" t="n">
        <v>5</v>
      </c>
      <c r="AA79" t="n">
        <v>0</v>
      </c>
      <c r="AB79" t="b">
        <v>1</v>
      </c>
      <c r="AC79" t="n">
        <v>0</v>
      </c>
      <c r="AD79" t="n">
        <v>0</v>
      </c>
      <c r="AG79" t="n">
        <v>71.43000000000001</v>
      </c>
    </row>
    <row r="80">
      <c r="A80" t="n">
        <v>2026</v>
      </c>
      <c r="B80" t="inlineStr">
        <is>
          <t>Todas las competencias</t>
        </is>
      </c>
      <c r="C80" t="inlineStr">
        <is>
          <t>Ulises Giménez</t>
        </is>
      </c>
      <c r="E80" t="n">
        <v>20</v>
      </c>
      <c r="F80" t="n">
        <v>2</v>
      </c>
      <c r="G80" t="n">
        <v>1</v>
      </c>
      <c r="H80" t="n">
        <v>94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3</v>
      </c>
      <c r="V80" t="n">
        <v>0</v>
      </c>
      <c r="W80" t="n">
        <v>2</v>
      </c>
      <c r="AB80" t="b">
        <v>1</v>
      </c>
      <c r="AC80" t="n">
        <v>0</v>
      </c>
      <c r="AD80" t="n">
        <v>0</v>
      </c>
    </row>
    <row r="81">
      <c r="A81" t="n">
        <v>2026</v>
      </c>
      <c r="B81" t="inlineStr">
        <is>
          <t>Todas las competencias</t>
        </is>
      </c>
      <c r="C81" t="inlineStr">
        <is>
          <t>Francisco Ortega</t>
        </is>
      </c>
      <c r="E81" t="n">
        <v>27</v>
      </c>
      <c r="F81" t="n">
        <v>1</v>
      </c>
      <c r="G81" t="n">
        <v>1</v>
      </c>
      <c r="H81" t="n">
        <v>90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3</v>
      </c>
      <c r="V81" t="n">
        <v>0</v>
      </c>
      <c r="W81" t="n">
        <v>0</v>
      </c>
      <c r="AB81" t="b">
        <v>1</v>
      </c>
      <c r="AC81" t="n">
        <v>0</v>
      </c>
      <c r="AD81" t="n">
        <v>0</v>
      </c>
      <c r="AE81" t="n">
        <v>100</v>
      </c>
      <c r="AF81" t="n">
        <v>0</v>
      </c>
    </row>
    <row r="82">
      <c r="A82" t="n">
        <v>2026</v>
      </c>
      <c r="B82" t="inlineStr">
        <is>
          <t>Todas las competencias</t>
        </is>
      </c>
      <c r="C82" t="inlineStr">
        <is>
          <t>Tobías Andrada</t>
        </is>
      </c>
      <c r="E82" t="n">
        <v>19</v>
      </c>
      <c r="F82" t="n">
        <v>1</v>
      </c>
      <c r="G82" t="n">
        <v>1</v>
      </c>
      <c r="H82" t="n">
        <v>90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3</v>
      </c>
      <c r="S82" t="n">
        <v>2</v>
      </c>
      <c r="T82" t="n">
        <v>0</v>
      </c>
      <c r="U82" t="n">
        <v>2</v>
      </c>
      <c r="V82" t="n">
        <v>1</v>
      </c>
      <c r="W82" t="n">
        <v>2</v>
      </c>
      <c r="AB82" t="b">
        <v>1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2026</v>
      </c>
      <c r="B83" t="inlineStr">
        <is>
          <t>Todas las competencias</t>
        </is>
      </c>
      <c r="C83" t="inlineStr">
        <is>
          <t>Mauro Arambarri</t>
        </is>
      </c>
      <c r="E83" t="n">
        <v>30</v>
      </c>
      <c r="F83" t="n">
        <v>2</v>
      </c>
      <c r="G83" t="n">
        <v>1</v>
      </c>
      <c r="H83" t="n">
        <v>69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4</v>
      </c>
      <c r="S83" t="n">
        <v>3</v>
      </c>
      <c r="T83" t="n">
        <v>0</v>
      </c>
      <c r="U83" t="n">
        <v>1</v>
      </c>
      <c r="V83" t="n">
        <v>2</v>
      </c>
      <c r="W83" t="n">
        <v>0</v>
      </c>
      <c r="AB83" t="b">
        <v>1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2026</v>
      </c>
      <c r="B84" t="inlineStr">
        <is>
          <t>Todas las competencias</t>
        </is>
      </c>
      <c r="C84" t="inlineStr">
        <is>
          <t>Tobías Ramírez</t>
        </is>
      </c>
      <c r="E84" t="n">
        <v>19</v>
      </c>
      <c r="F84" t="n">
        <v>1</v>
      </c>
      <c r="G84" t="n">
        <v>1</v>
      </c>
      <c r="H84" t="n">
        <v>45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2</v>
      </c>
      <c r="W84" t="n">
        <v>0</v>
      </c>
      <c r="AB84" t="b">
        <v>1</v>
      </c>
      <c r="AC84" t="n">
        <v>0</v>
      </c>
      <c r="AD84" t="n">
        <v>0</v>
      </c>
    </row>
    <row r="85">
      <c r="A85" t="n">
        <v>2026</v>
      </c>
      <c r="B85" t="inlineStr">
        <is>
          <t>Todas las competencias</t>
        </is>
      </c>
      <c r="C85" t="inlineStr">
        <is>
          <t>Cristian Jaime</t>
        </is>
      </c>
      <c r="E85" t="n">
        <v>20</v>
      </c>
      <c r="F85" t="n">
        <v>1</v>
      </c>
      <c r="G85" t="n">
        <v>0</v>
      </c>
      <c r="H85" t="n">
        <v>19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AB85" t="b">
        <v>1</v>
      </c>
      <c r="AC85" t="n">
        <v>0</v>
      </c>
      <c r="AD85" t="n">
        <v>0</v>
      </c>
    </row>
    <row r="86">
      <c r="A86" t="n">
        <v>2026</v>
      </c>
      <c r="B86" t="inlineStr">
        <is>
          <t>Todas las competencias</t>
        </is>
      </c>
      <c r="C86" t="inlineStr">
        <is>
          <t>Juan Portillo</t>
        </is>
      </c>
      <c r="E86" t="n">
        <v>26</v>
      </c>
      <c r="F86" t="n">
        <v>1</v>
      </c>
      <c r="G86" t="n">
        <v>0</v>
      </c>
      <c r="H86" t="n">
        <v>16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AB86" t="b">
        <v>1</v>
      </c>
      <c r="AC86" t="n">
        <v>0</v>
      </c>
      <c r="AD86" t="n">
        <v>0</v>
      </c>
    </row>
    <row r="87">
      <c r="A87" t="n">
        <v>2026</v>
      </c>
      <c r="B87" t="inlineStr">
        <is>
          <t>Todas las competencias</t>
        </is>
      </c>
      <c r="C87" t="inlineStr">
        <is>
          <t>Jonathan Spiff</t>
        </is>
      </c>
      <c r="E87" t="n">
        <v>19</v>
      </c>
      <c r="F87" t="n">
        <v>2</v>
      </c>
      <c r="G87" t="n">
        <v>0</v>
      </c>
      <c r="H87" t="n">
        <v>14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AB87" t="b">
        <v>1</v>
      </c>
      <c r="AC87" t="n">
        <v>0</v>
      </c>
      <c r="AD87" t="n">
        <v>0</v>
      </c>
    </row>
    <row r="88">
      <c r="A88" t="n">
        <v>2026</v>
      </c>
      <c r="B88" t="inlineStr">
        <is>
          <t>Todas las competencias</t>
        </is>
      </c>
      <c r="C88" t="inlineStr">
        <is>
          <t>Valentín Lucero</t>
        </is>
      </c>
      <c r="E88" t="n">
        <v>20</v>
      </c>
      <c r="F88" t="n">
        <v>1</v>
      </c>
      <c r="G88" t="n">
        <v>0</v>
      </c>
      <c r="H88" t="n">
        <v>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0</v>
      </c>
      <c r="W88" t="n">
        <v>0</v>
      </c>
      <c r="AB88" t="b">
        <v>1</v>
      </c>
      <c r="AC88" t="n">
        <v>0</v>
      </c>
      <c r="AD88" t="n">
        <v>0</v>
      </c>
    </row>
    <row r="89">
      <c r="A89" t="n">
        <v>2026</v>
      </c>
      <c r="B89" t="inlineStr">
        <is>
          <t>Todas las competencias</t>
        </is>
      </c>
      <c r="C89" t="inlineStr">
        <is>
          <t>Ezequiel Centurión</t>
        </is>
      </c>
      <c r="E89" t="n">
        <v>29</v>
      </c>
      <c r="F89" t="n">
        <v>0</v>
      </c>
      <c r="G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AB89" t="b">
        <v>1</v>
      </c>
    </row>
    <row r="90">
      <c r="A90" t="n">
        <v>2026</v>
      </c>
      <c r="B90" t="inlineStr">
        <is>
          <t>Todas las competencias</t>
        </is>
      </c>
      <c r="C90" t="inlineStr">
        <is>
          <t>Giovanni González</t>
        </is>
      </c>
      <c r="E90" t="n">
        <v>31</v>
      </c>
      <c r="F90" t="n">
        <v>0</v>
      </c>
      <c r="G90" t="n">
        <v>0</v>
      </c>
      <c r="AB90" t="b">
        <v>1</v>
      </c>
    </row>
    <row r="91">
      <c r="A91" t="n">
        <v>2026</v>
      </c>
      <c r="B91" t="inlineStr">
        <is>
          <t>Todas las competencias</t>
        </is>
      </c>
      <c r="C91" t="inlineStr">
        <is>
          <t>Franco Jaroszewicz</t>
        </is>
      </c>
      <c r="E91" t="n">
        <v>19</v>
      </c>
      <c r="F91" t="n">
        <v>0</v>
      </c>
      <c r="G91" t="n">
        <v>0</v>
      </c>
      <c r="AB91" t="b">
        <v>1</v>
      </c>
    </row>
    <row r="92">
      <c r="A92" t="n">
        <v>2026</v>
      </c>
      <c r="B92" t="inlineStr">
        <is>
          <t>Todas las competencias</t>
        </is>
      </c>
      <c r="C92" t="inlineStr">
        <is>
          <t>Matías Galarza</t>
        </is>
      </c>
      <c r="E92" t="n">
        <v>24</v>
      </c>
      <c r="F92" t="n">
        <v>0</v>
      </c>
      <c r="G92" t="n">
        <v>0</v>
      </c>
      <c r="AB92" t="b">
        <v>1</v>
      </c>
    </row>
    <row r="93">
      <c r="A93" t="n">
        <v>2026</v>
      </c>
      <c r="B93" t="inlineStr">
        <is>
          <t>Todas las competencias</t>
        </is>
      </c>
      <c r="C93" t="inlineStr">
        <is>
          <t>Agustín Obregón</t>
        </is>
      </c>
      <c r="E93" t="n">
        <v>20</v>
      </c>
      <c r="F93" t="n">
        <v>0</v>
      </c>
      <c r="G93" t="n">
        <v>0</v>
      </c>
      <c r="AB9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B1" s="1" t="inlineStr">
        <is>
          <t>Dashboard Jugador — River Plate</t>
        </is>
      </c>
    </row>
    <row r="3">
      <c r="B3" s="2" t="inlineStr">
        <is>
          <t>Jugador</t>
        </is>
      </c>
      <c r="C3" t="inlineStr">
        <is>
          <t>Sebastián Driussi</t>
        </is>
      </c>
    </row>
    <row r="4">
      <c r="B4" s="2" t="inlineStr">
        <is>
          <t>Competencia</t>
        </is>
      </c>
      <c r="C4" t="inlineStr">
        <is>
          <t>Todas las competencias</t>
        </is>
      </c>
    </row>
    <row r="6">
      <c r="B6" s="3" t="inlineStr">
        <is>
          <t>Métrica</t>
        </is>
      </c>
      <c r="C6" s="3" t="inlineStr">
        <is>
          <t>Valor</t>
        </is>
      </c>
    </row>
    <row r="7">
      <c r="B7" t="inlineStr">
        <is>
          <t>Partidos jugados</t>
        </is>
      </c>
      <c r="C7">
        <f>IFERROR(SUMIFS(Datos_Jugadores[Partidos_Jugados],Datos_Jugadores[Jugador],$C$3,Datos_Jugadores[Competencia],$C$4),"—")</f>
        <v/>
      </c>
    </row>
    <row r="8">
      <c r="B8" t="inlineStr">
        <is>
          <t>Minutos</t>
        </is>
      </c>
      <c r="C8">
        <f>IFERROR(SUMIFS(Datos_Jugadores[Minutos],Datos_Jugadores[Jugador],$C$3,Datos_Jugadores[Competencia],$C$4),"—")</f>
        <v/>
      </c>
    </row>
    <row r="9">
      <c r="B9" t="inlineStr">
        <is>
          <t>Goles</t>
        </is>
      </c>
      <c r="C9">
        <f>IFERROR(SUMIFS(Datos_Jugadores[Goles],Datos_Jugadores[Jugador],$C$3,Datos_Jugadores[Competencia],$C$4),"—")</f>
        <v/>
      </c>
    </row>
    <row r="10">
      <c r="B10" t="inlineStr">
        <is>
          <t>Asistencias</t>
        </is>
      </c>
      <c r="C10">
        <f>IFERROR(SUMIFS(Datos_Jugadores[Asistencias],Datos_Jugadores[Jugador],$C$3,Datos_Jugadores[Competencia],$C$4),"—")</f>
        <v/>
      </c>
    </row>
    <row r="11">
      <c r="B11" t="inlineStr">
        <is>
          <t>Goles cada 90'</t>
        </is>
      </c>
      <c r="C11">
        <f>IFERROR(SUMIFS(Datos_Jugadores[Goles_por_90],Datos_Jugadores[Jugador],$C$3,Datos_Jugadores[Competencia],$C$4),"—")</f>
        <v/>
      </c>
    </row>
    <row r="12">
      <c r="B12" t="inlineStr">
        <is>
          <t>Asistencias cada 90'</t>
        </is>
      </c>
      <c r="C12">
        <f>IFERROR(SUMIFS(Datos_Jugadores[Asistencias_por_90],Datos_Jugadores[Jugador],$C$3,Datos_Jugadores[Competencia],$C$4),"—")</f>
        <v/>
      </c>
    </row>
    <row r="13">
      <c r="B13" t="inlineStr">
        <is>
          <t>Tiros</t>
        </is>
      </c>
      <c r="C13">
        <f>IFERROR(SUMIFS(Datos_Jugadores[Tiros],Datos_Jugadores[Jugador],$C$3,Datos_Jugadores[Competencia],$C$4),"—")</f>
        <v/>
      </c>
    </row>
    <row r="14">
      <c r="B14" t="inlineStr">
        <is>
          <t>Tiros al arco</t>
        </is>
      </c>
      <c r="C14">
        <f>IFERROR(SUMIFS(Datos_Jugadores[Tiros_al_Arco],Datos_Jugadores[Jugador],$C$3,Datos_Jugadores[Competencia],$C$4),"—")</f>
        <v/>
      </c>
    </row>
    <row r="15">
      <c r="B15" t="inlineStr">
        <is>
          <t>% tiros al arco</t>
        </is>
      </c>
      <c r="C15">
        <f>IFERROR(SUMIFS(Datos_Jugadores[%_Tiros_al_Arco],Datos_Jugadores[Jugador],$C$3,Datos_Jugadores[Competencia],$C$4),"—")</f>
        <v/>
      </c>
    </row>
    <row r="16">
      <c r="B16" t="inlineStr">
        <is>
          <t>% conversión de gol</t>
        </is>
      </c>
      <c r="C16">
        <f>IFERROR(SUMIFS(Datos_Jugadores[%_Conversión_de_Gol],Datos_Jugadores[Jugador],$C$3,Datos_Jugadores[Competencia],$C$4),"—")</f>
        <v/>
      </c>
    </row>
    <row r="17">
      <c r="B17" t="inlineStr">
        <is>
          <t>Faltas cometidas</t>
        </is>
      </c>
      <c r="C17">
        <f>IFERROR(SUMIFS(Datos_Jugadores[Faltas_Cometidas],Datos_Jugadores[Jugador],$C$3,Datos_Jugadores[Competencia],$C$4),"—")</f>
        <v/>
      </c>
    </row>
    <row r="18">
      <c r="B18" t="inlineStr">
        <is>
          <t>Faltas recibidas</t>
        </is>
      </c>
      <c r="C18">
        <f>IFERROR(SUMIFS(Datos_Jugadores[Faltas_Recibidas],Datos_Jugadores[Jugador],$C$3,Datos_Jugadores[Competencia],$C$4),"—")</f>
        <v/>
      </c>
    </row>
    <row r="19">
      <c r="B19" t="inlineStr">
        <is>
          <t>Tackles ganados</t>
        </is>
      </c>
      <c r="C19">
        <f>IFERROR(SUMIFS(Datos_Jugadores[Tackles_Ganados],Datos_Jugadores[Jugador],$C$3,Datos_Jugadores[Competencia],$C$4),"—")</f>
        <v/>
      </c>
    </row>
    <row r="20">
      <c r="B20" t="inlineStr">
        <is>
          <t>Intercepciones</t>
        </is>
      </c>
      <c r="C20">
        <f>IFERROR(SUMIFS(Datos_Jugadores[Intercepciones],Datos_Jugadores[Jugador],$C$3,Datos_Jugadores[Competencia],$C$4),"—")</f>
        <v/>
      </c>
      <c r="H20" t="inlineStr">
        <is>
          <t>Opciones_Jugador</t>
        </is>
      </c>
      <c r="I20" t="inlineStr">
        <is>
          <t>Opciones_Competencia</t>
        </is>
      </c>
    </row>
    <row r="21">
      <c r="B21" t="inlineStr">
        <is>
          <t>Tarjetas amarillas</t>
        </is>
      </c>
      <c r="C21">
        <f>IFERROR(SUMIFS(Datos_Jugadores[Tarjetas_Amarillas],Datos_Jugadores[Jugador],$C$3,Datos_Jugadores[Competencia],$C$4),"—")</f>
        <v/>
      </c>
      <c r="H21" t="inlineStr">
        <is>
          <t>Agustín Obregón</t>
        </is>
      </c>
      <c r="I21" t="inlineStr">
        <is>
          <t>Liga Argentina</t>
        </is>
      </c>
    </row>
    <row r="22">
      <c r="B22" t="inlineStr">
        <is>
          <t>Tarjetas rojas</t>
        </is>
      </c>
      <c r="C22">
        <f>IFERROR(SUMIFS(Datos_Jugadores[Tarjetas_Rojas],Datos_Jugadores[Jugador],$C$3,Datos_Jugadores[Competencia],$C$4),"—")</f>
        <v/>
      </c>
      <c r="H22" t="inlineStr">
        <is>
          <t>Agustín Ruberto</t>
        </is>
      </c>
      <c r="I22" t="inlineStr">
        <is>
          <t>Todas las competencias</t>
        </is>
      </c>
    </row>
    <row r="23">
      <c r="B23" t="inlineStr">
        <is>
          <t>Atajadas</t>
        </is>
      </c>
      <c r="C23">
        <f>IFERROR(SUMIFS(Datos_Jugadores[Atajadas],Datos_Jugadores[Jugador],$C$3,Datos_Jugadores[Competencia],$C$4),"—")</f>
        <v/>
      </c>
      <c r="H23" t="inlineStr">
        <is>
          <t>Aníbal Moreno</t>
        </is>
      </c>
    </row>
    <row r="24">
      <c r="B24" t="inlineStr">
        <is>
          <t>Goles recibidos (arquero)</t>
        </is>
      </c>
      <c r="C24">
        <f>IFERROR(SUMIFS(Datos_Jugadores[Goles_Recibidos],Datos_Jugadores[Jugador],$C$3,Datos_Jugadores[Competencia],$C$4),"—")</f>
        <v/>
      </c>
      <c r="H24" t="inlineStr">
        <is>
          <t>Cristian Jaime</t>
        </is>
      </c>
    </row>
    <row r="25">
      <c r="B25" t="inlineStr">
        <is>
          <t>% atajadas</t>
        </is>
      </c>
      <c r="C25">
        <f>IFERROR(SUMIFS(Datos_Jugadores[%_Atajadas],Datos_Jugadores[Jugador],$C$3,Datos_Jugadores[Competencia],$C$4),"—")</f>
        <v/>
      </c>
      <c r="H25" t="inlineStr">
        <is>
          <t>Ezequiel Centurión</t>
        </is>
      </c>
    </row>
    <row r="26">
      <c r="A26" s="2" t="inlineStr">
        <is>
          <t>Top 10 goleadores (todas las competencias)</t>
        </is>
      </c>
      <c r="H26" t="inlineStr">
        <is>
          <t>Fabricio Bustos</t>
        </is>
      </c>
    </row>
    <row r="27">
      <c r="A27" s="3" t="inlineStr">
        <is>
          <t>Jugador</t>
        </is>
      </c>
      <c r="B27" s="3" t="inlineStr">
        <is>
          <t>Goles</t>
        </is>
      </c>
      <c r="H27" t="inlineStr">
        <is>
          <t>Facundo Colidio</t>
        </is>
      </c>
    </row>
    <row r="28">
      <c r="A28" t="inlineStr">
        <is>
          <t>Sebastián Driussi</t>
        </is>
      </c>
      <c r="B28" t="n">
        <v>6</v>
      </c>
      <c r="H28" t="inlineStr">
        <is>
          <t>Facundo González</t>
        </is>
      </c>
    </row>
    <row r="29">
      <c r="A29" t="inlineStr">
        <is>
          <t>Gonzalo Montiel</t>
        </is>
      </c>
      <c r="B29" t="n">
        <v>4</v>
      </c>
      <c r="H29" t="inlineStr">
        <is>
          <t>Fausto Vera</t>
        </is>
      </c>
    </row>
    <row r="30">
      <c r="A30" t="inlineStr">
        <is>
          <t>Facundo Colidio</t>
        </is>
      </c>
      <c r="B30" t="n">
        <v>3</v>
      </c>
      <c r="H30" t="inlineStr">
        <is>
          <t>Francisco Ortega</t>
        </is>
      </c>
    </row>
    <row r="31">
      <c r="A31" t="inlineStr">
        <is>
          <t>Maximiliano Salas</t>
        </is>
      </c>
      <c r="B31" t="n">
        <v>3</v>
      </c>
      <c r="H31" t="inlineStr">
        <is>
          <t>Franco Armani</t>
        </is>
      </c>
    </row>
    <row r="32">
      <c r="A32" t="inlineStr">
        <is>
          <t>Lucas Martínez Quarta</t>
        </is>
      </c>
      <c r="B32" t="n">
        <v>2</v>
      </c>
      <c r="H32" t="inlineStr">
        <is>
          <t>Franco Jaroszewicz</t>
        </is>
      </c>
    </row>
    <row r="33">
      <c r="A33" t="inlineStr">
        <is>
          <t>Tomás Galván</t>
        </is>
      </c>
      <c r="B33" t="n">
        <v>2</v>
      </c>
      <c r="H33" t="inlineStr">
        <is>
          <t>Germán Pezzella</t>
        </is>
      </c>
    </row>
    <row r="34">
      <c r="A34" t="inlineStr">
        <is>
          <t>Juan Quintero</t>
        </is>
      </c>
      <c r="B34" t="n">
        <v>2</v>
      </c>
      <c r="H34" t="inlineStr">
        <is>
          <t>Giovanni González</t>
        </is>
      </c>
    </row>
    <row r="35">
      <c r="A35" t="inlineStr">
        <is>
          <t>Lautaro Rivero</t>
        </is>
      </c>
      <c r="B35" t="n">
        <v>1</v>
      </c>
      <c r="H35" t="inlineStr">
        <is>
          <t>Giuliano Galoppo</t>
        </is>
      </c>
    </row>
    <row r="36">
      <c r="A36" t="inlineStr">
        <is>
          <t>Fausto Vera</t>
        </is>
      </c>
      <c r="B36" t="n">
        <v>1</v>
      </c>
      <c r="H36" t="inlineStr">
        <is>
          <t>Gonzalo Montiel</t>
        </is>
      </c>
    </row>
    <row r="37">
      <c r="A37" t="inlineStr">
        <is>
          <t>Joaquín Freitas</t>
        </is>
      </c>
      <c r="B37" t="n">
        <v>1</v>
      </c>
      <c r="H37" t="inlineStr">
        <is>
          <t>Ian Subiabre</t>
        </is>
      </c>
    </row>
    <row r="38">
      <c r="H38" t="inlineStr">
        <is>
          <t>Joaquín Freitas</t>
        </is>
      </c>
    </row>
    <row r="39">
      <c r="H39" t="inlineStr">
        <is>
          <t>Jonathan Spiff</t>
        </is>
      </c>
    </row>
    <row r="40">
      <c r="H40" t="inlineStr">
        <is>
          <t>Juan Meza</t>
        </is>
      </c>
    </row>
    <row r="41">
      <c r="H41" t="inlineStr">
        <is>
          <t>Juan Portillo</t>
        </is>
      </c>
    </row>
    <row r="42">
      <c r="H42" t="inlineStr">
        <is>
          <t>Juan Quintero</t>
        </is>
      </c>
    </row>
    <row r="43">
      <c r="H43" t="inlineStr">
        <is>
          <t>Kendry Páez</t>
        </is>
      </c>
    </row>
    <row r="44">
      <c r="H44" t="inlineStr">
        <is>
          <t>Kevin Castaño</t>
        </is>
      </c>
    </row>
    <row r="45">
      <c r="H45" t="inlineStr">
        <is>
          <t>Lautaro Pereyra</t>
        </is>
      </c>
    </row>
    <row r="46">
      <c r="H46" t="inlineStr">
        <is>
          <t>Lautaro Rivero</t>
        </is>
      </c>
    </row>
    <row r="47">
      <c r="H47" t="inlineStr">
        <is>
          <t>Lucas Beltrán</t>
        </is>
      </c>
    </row>
    <row r="48">
      <c r="H48" t="inlineStr">
        <is>
          <t>Lucas Gabriel Silva</t>
        </is>
      </c>
    </row>
    <row r="49">
      <c r="H49" t="inlineStr">
        <is>
          <t>Lucas Martínez Quarta</t>
        </is>
      </c>
    </row>
    <row r="50">
      <c r="H50" t="inlineStr">
        <is>
          <t>Marcos Acuña</t>
        </is>
      </c>
    </row>
    <row r="51">
      <c r="H51" t="inlineStr">
        <is>
          <t>Matías Galarza</t>
        </is>
      </c>
    </row>
    <row r="52">
      <c r="H52" t="inlineStr">
        <is>
          <t>Matías Viña</t>
        </is>
      </c>
    </row>
    <row r="53">
      <c r="H53" t="inlineStr">
        <is>
          <t>Mauro Arambarri</t>
        </is>
      </c>
    </row>
    <row r="54">
      <c r="H54" t="inlineStr">
        <is>
          <t>Maximiliano Meza</t>
        </is>
      </c>
    </row>
    <row r="55">
      <c r="H55" t="inlineStr">
        <is>
          <t>Maximiliano Salas</t>
        </is>
      </c>
    </row>
    <row r="56">
      <c r="H56" t="inlineStr">
        <is>
          <t>Nicolás Otamendi</t>
        </is>
      </c>
    </row>
    <row r="57">
      <c r="H57" t="inlineStr">
        <is>
          <t>Paulo Díaz</t>
        </is>
      </c>
    </row>
    <row r="58">
      <c r="H58" t="inlineStr">
        <is>
          <t>Rafael Borré</t>
        </is>
      </c>
    </row>
    <row r="59">
      <c r="H59" t="inlineStr">
        <is>
          <t>Santiago Beltrán</t>
        </is>
      </c>
    </row>
    <row r="60">
      <c r="H60" t="inlineStr">
        <is>
          <t>Santiago Lencina</t>
        </is>
      </c>
    </row>
    <row r="61">
      <c r="H61" t="inlineStr">
        <is>
          <t>Sebastián Driussi</t>
        </is>
      </c>
    </row>
    <row r="62">
      <c r="H62" t="inlineStr">
        <is>
          <t>Tobías Andrada</t>
        </is>
      </c>
    </row>
    <row r="63">
      <c r="H63" t="inlineStr">
        <is>
          <t>Tobías Ramírez</t>
        </is>
      </c>
    </row>
    <row r="64">
      <c r="H64" t="inlineStr">
        <is>
          <t>Tomás Galván</t>
        </is>
      </c>
    </row>
    <row r="65">
      <c r="H65" t="inlineStr">
        <is>
          <t>Ulises Giménez</t>
        </is>
      </c>
    </row>
    <row r="66">
      <c r="H66" t="inlineStr">
        <is>
          <t>Valentín Lucero</t>
        </is>
      </c>
    </row>
    <row r="67">
      <c r="H67" t="inlineStr">
        <is>
          <t>Ángel Correa</t>
        </is>
      </c>
    </row>
  </sheetData>
  <mergeCells count="1">
    <mergeCell ref="B1:E1"/>
  </mergeCells>
  <dataValidations count="2">
    <dataValidation sqref="C3" showDropDown="0" showInputMessage="0" showErrorMessage="0" allowBlank="0" type="list">
      <formula1>=$H$21:$H$67</formula1>
    </dataValidation>
    <dataValidation sqref="C4" showDropDown="0" showInputMessage="0" showErrorMessage="0" allowBlank="0" type="list">
      <formula1>=$I$21:$I$22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2026-09-02T18:35:27Z</dcterms:created>
  <dcterms:modified xmlns:dcterms="http://purl.org/dc/terms/" xmlns:xsi="http://www.w3.org/2001/XMLSchema-instance" xsi:type="dcterms:W3CDTF">2026-09-02T18:35:27Z</dcterms:modified>
</cp:coreProperties>
</file>